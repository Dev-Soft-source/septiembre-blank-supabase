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OneDrive\Desktop\"/>
    </mc:Choice>
  </mc:AlternateContent>
  <xr:revisionPtr revIDLastSave="0" documentId="13_ncr:1_{180ADFC6-297B-477B-999E-B242C60C284D}" xr6:coauthVersionLast="47" xr6:coauthVersionMax="47" xr10:uidLastSave="{00000000-0000-0000-0000-000000000000}"/>
  <bookViews>
    <workbookView xWindow="-120" yWindow="-120" windowWidth="29040" windowHeight="15720" xr2:uid="{6961987B-7B2F-4A75-A9A2-DBF20654414D}"/>
  </bookViews>
  <sheets>
    <sheet name="CALCULADORA HOTEL-LIVING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1" l="1"/>
  <c r="K26" i="1" s="1"/>
  <c r="K27" i="1" s="1"/>
  <c r="I25" i="1"/>
  <c r="I26" i="1" s="1"/>
  <c r="I27" i="1" s="1"/>
  <c r="D48" i="1" s="1"/>
  <c r="D50" i="1" s="1"/>
  <c r="C26" i="1"/>
  <c r="C28" i="1" s="1"/>
  <c r="F41" i="1" s="1"/>
  <c r="F42" i="1" l="1"/>
  <c r="D52" i="1"/>
  <c r="D54" i="1" s="1"/>
  <c r="G33" i="1"/>
  <c r="G35" i="1" s="1"/>
  <c r="G37" i="1" s="1"/>
  <c r="G39" i="1" s="1"/>
  <c r="G61" i="1"/>
  <c r="G63" i="1" s="1"/>
  <c r="G20" i="1"/>
  <c r="G24" i="1" s="1"/>
  <c r="G26" i="1" s="1"/>
  <c r="D61" i="1"/>
  <c r="D63" i="1" s="1"/>
  <c r="D33" i="1"/>
  <c r="D35" i="1" s="1"/>
  <c r="D37" i="1" s="1"/>
  <c r="D39" i="1" s="1"/>
  <c r="D41" i="1" s="1"/>
  <c r="D43" i="1" s="1"/>
  <c r="J35" i="1" s="1"/>
  <c r="G48" i="1"/>
  <c r="G50" i="1" s="1"/>
  <c r="D20" i="1"/>
  <c r="D24" i="1" s="1"/>
  <c r="D26" i="1" s="1"/>
  <c r="D28" i="1" s="1"/>
  <c r="D30" i="1" s="1"/>
  <c r="J34" i="1" s="1"/>
  <c r="D56" i="1" l="1"/>
  <c r="D58" i="1" s="1"/>
  <c r="J36" i="1" s="1"/>
  <c r="G52" i="1"/>
  <c r="G54" i="1" s="1"/>
  <c r="G56" i="1" s="1"/>
  <c r="G58" i="1" s="1"/>
  <c r="K36" i="1" s="1"/>
  <c r="D65" i="1"/>
  <c r="D67" i="1" s="1"/>
  <c r="G28" i="1"/>
  <c r="G30" i="1" s="1"/>
  <c r="G65" i="1"/>
  <c r="G67" i="1" s="1"/>
  <c r="G41" i="1"/>
  <c r="G43" i="1" s="1"/>
  <c r="K35" i="1" s="1"/>
  <c r="F13" i="1" s="1"/>
  <c r="K34" i="1" l="1"/>
  <c r="E13" i="1" s="1"/>
  <c r="G13" i="1"/>
  <c r="D69" i="1"/>
  <c r="D71" i="1" s="1"/>
  <c r="J37" i="1" s="1"/>
  <c r="G69" i="1"/>
  <c r="G71" i="1" s="1"/>
  <c r="K37" i="1" s="1"/>
  <c r="H13" i="1" l="1"/>
  <c r="G8" i="1" s="1"/>
  <c r="E10" i="1"/>
  <c r="G10" i="1"/>
  <c r="E8" i="1" l="1"/>
  <c r="H42" i="1" s="1"/>
  <c r="J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C23" authorId="0" shapeId="0" xr:uid="{C53C5BEB-4A15-401A-97D0-B91BDF8E79A2}">
      <text>
        <r>
          <rPr>
            <b/>
            <sz val="11"/>
            <color indexed="81"/>
            <rFont val="Calibri"/>
            <family val="2"/>
            <scheme val="minor"/>
          </rPr>
          <t>Estos costes corresponden a cocina tipo CASERA, las más recomendable por diaria y confiable, al estilo ¨Menú del Día¨.
ELIMINAR COSTES: solo en el caso de que no desee servir el regimen alimentario correspondiente.
AUMENTAR COSTE: Solo en el caso de que su hotel vaya a dirigirse a un público gourmet, de tarifas más altas, o si en caso de tratarse de un establecimiento 5 estrellas.</t>
        </r>
      </text>
    </comment>
    <comment ref="C24" authorId="0" shapeId="0" xr:uid="{0600CFA6-7183-4D55-82C3-E7A9A5935FE1}">
      <text>
        <r>
          <rPr>
            <b/>
            <sz val="11"/>
            <color indexed="81"/>
            <rFont val="Calibri"/>
            <family val="2"/>
            <scheme val="minor"/>
          </rPr>
          <t>Estos costes corresponden a cocina tipo CASERA, las más recomendable por diaria y confiable, al estilo ¨Menú del Día¨.
ELIMINAR COSTES: solo en el caso de que no desee servir el regimen alimentario correspondiente.
AUMENTAR COSTE: Solo en el caso de que su hotel vaya a dirigirse a un público gourmet, de tarifas más altas, o si en caso de tratarse de un establecimiento 5 estrellas.</t>
        </r>
      </text>
    </comment>
    <comment ref="I24" authorId="0" shapeId="0" xr:uid="{F7A4EFB8-CABC-416F-8F08-2051D5B01158}">
      <text>
        <r>
          <rPr>
            <sz val="9"/>
            <color indexed="81"/>
            <rFont val="Tahoma"/>
            <family val="2"/>
          </rPr>
          <t xml:space="preserve">
PUEDE MODIFICARLA COMO DESEE, de lo contrario se calcula a un 30% extra sobre la Tarifa Individual.
</t>
        </r>
      </text>
    </comment>
    <comment ref="K24" authorId="0" shapeId="0" xr:uid="{2F568DE7-51BD-4BEB-9BDB-3AE48D51A2B8}">
      <text>
        <r>
          <rPr>
            <b/>
            <sz val="9"/>
            <color indexed="81"/>
            <rFont val="Tahoma"/>
            <family val="2"/>
          </rPr>
          <t xml:space="preserve">
Esta es la tarifa base.
NO LE RECOMENDAMOS aumentarla demasiado pues, recuerde, su objetivo es obtener excelentes beneficios finales gracias al 100% de ocupación.
</t>
        </r>
      </text>
    </comment>
    <comment ref="C25" authorId="0" shapeId="0" xr:uid="{5BF427FE-6AD6-4535-B911-770EEF30099D}">
      <text>
        <r>
          <rPr>
            <b/>
            <sz val="11"/>
            <color indexed="81"/>
            <rFont val="Calibri"/>
            <family val="2"/>
            <scheme val="minor"/>
          </rPr>
          <t>Estos costes corresponden a cocina tipo CASERA, las más recomendable por diaria y confiable, al estilo ¨Menú del Día¨.
ELIMINAR COSTES: solo en el caso de que no desee servir el regimen alimentario correspondiente.
AUMENTAR COSTE: Solo en el caso de que su hotel vaya a dirigirse a un público gourmet, de tarifas más altas, o si en caso de tratarse de un establecimiento 5 estrellas.</t>
        </r>
      </text>
    </comment>
    <comment ref="E37" authorId="0" shapeId="0" xr:uid="{74AC566D-970E-4511-9216-260CD883FA28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ASDFASDFASDF</t>
        </r>
      </text>
    </comment>
  </commentList>
</comments>
</file>

<file path=xl/sharedStrings.xml><?xml version="1.0" encoding="utf-8"?>
<sst xmlns="http://schemas.openxmlformats.org/spreadsheetml/2006/main" count="124" uniqueCount="76">
  <si>
    <t xml:space="preserve"> </t>
  </si>
  <si>
    <t>8 DAYS</t>
  </si>
  <si>
    <t>16 DAYS</t>
  </si>
  <si>
    <t>24 DAYS</t>
  </si>
  <si>
    <t>32 DAYS</t>
  </si>
  <si>
    <t>EN DOBLE</t>
  </si>
  <si>
    <t>SOLO ALOJAMIENTO</t>
  </si>
  <si>
    <t>AYUDANTES COCINA</t>
  </si>
  <si>
    <t>CAMAREROS</t>
  </si>
  <si>
    <t>GENERALES</t>
  </si>
  <si>
    <t>ELECTRICIDAD</t>
  </si>
  <si>
    <t>GAS</t>
  </si>
  <si>
    <t>AGUA</t>
  </si>
  <si>
    <t>ALQUILER</t>
  </si>
  <si>
    <t>ANIMADORES</t>
  </si>
  <si>
    <t>TOTAL</t>
  </si>
  <si>
    <t>PENSIÓN COMPLETA</t>
  </si>
  <si>
    <t>ANUAL</t>
  </si>
  <si>
    <t>MENSUAL</t>
  </si>
  <si>
    <t>ES SIMPLE :</t>
  </si>
  <si>
    <t>EN INDIVIDUAL</t>
  </si>
  <si>
    <t>OTROS 1</t>
  </si>
  <si>
    <t>OTROS 2</t>
  </si>
  <si>
    <t>COMIDA</t>
  </si>
  <si>
    <t>¿Cuántas habitaciones vacías?</t>
  </si>
  <si>
    <t>COSTES DE COMIDA</t>
  </si>
  <si>
    <t>BENEFICIO FINAL</t>
  </si>
  <si>
    <t>RECEPCIÓN</t>
  </si>
  <si>
    <t>LIMPIEZA</t>
  </si>
  <si>
    <t>JEFE DE COCINA</t>
  </si>
  <si>
    <t>MANTENIMIENTO</t>
  </si>
  <si>
    <t>GASTOS EXTRAS</t>
  </si>
  <si>
    <t>DESAYUNO</t>
  </si>
  <si>
    <t>ALMUERZO</t>
  </si>
  <si>
    <t>CENA</t>
  </si>
  <si>
    <t xml:space="preserve">% DE BENEFICIO </t>
  </si>
  <si>
    <t>TOTAL MENSUAL</t>
  </si>
  <si>
    <t xml:space="preserve">TARIFA BÁSICA </t>
  </si>
  <si>
    <t>IVA A APLICAR :</t>
  </si>
  <si>
    <r>
      <t xml:space="preserve">TARIFAS FINALES </t>
    </r>
    <r>
      <rPr>
        <sz val="28"/>
        <color theme="0"/>
        <rFont val="Franklin Gothic Demi Cond"/>
        <family val="2"/>
      </rPr>
      <t xml:space="preserve"> (por persona)</t>
    </r>
  </si>
  <si>
    <t>MODIFIQUE LAS CIFRAS CUANTO DESEE PARA HALLAR SU MEJOR MODELO DE  SERVICIOS, GASTOS, TARIFAS Y BENEFICIOS</t>
  </si>
  <si>
    <t>DESCUENTO POR CADA SEMANA EXTRA :</t>
  </si>
  <si>
    <t>(SIMULADOR DE REGÍMENES          DE COMIDAS: D, MP ó PC</t>
  </si>
  <si>
    <r>
      <t xml:space="preserve">ESTANCIA </t>
    </r>
    <r>
      <rPr>
        <u/>
        <sz val="32"/>
        <color rgb="FF1701B7"/>
        <rFont val="Franklin Gothic Demi Cond"/>
        <family val="2"/>
      </rPr>
      <t>SIMPLE</t>
    </r>
    <r>
      <rPr>
        <sz val="32"/>
        <color rgb="FF1701B7"/>
        <rFont val="Franklin Gothic Demi Cond"/>
        <family val="2"/>
      </rPr>
      <t xml:space="preserve"> DE OCHO DÍAS</t>
    </r>
  </si>
  <si>
    <t>CON DESAYUNO :</t>
  </si>
  <si>
    <t>CON MEDIA PENSIÓN :</t>
  </si>
  <si>
    <t>CON PENSIÓN COMPLETA :</t>
  </si>
  <si>
    <t>8 DIAS</t>
  </si>
  <si>
    <t>DESCUENTO</t>
  </si>
  <si>
    <t>TOTAL 1</t>
  </si>
  <si>
    <t>IVA</t>
  </si>
  <si>
    <t>TOTAL 2</t>
  </si>
  <si>
    <t>16 días</t>
  </si>
  <si>
    <t>Comisión</t>
  </si>
  <si>
    <t>24 días</t>
  </si>
  <si>
    <t>32 días</t>
  </si>
  <si>
    <t>PERSONAL</t>
  </si>
  <si>
    <t>CALCULADORA DE MODELO</t>
  </si>
  <si>
    <t>www.hotel-living.com</t>
  </si>
  <si>
    <t>LAVADORAS</t>
  </si>
  <si>
    <t>RECUERDE</t>
  </si>
  <si>
    <t>CON TARIFAS FINALES DE MES COMPLETO :</t>
  </si>
  <si>
    <t>* MEDIA DE BENEFICIOS AL 100% DE OCUPACIÓN EN ESTANCIAS DE:</t>
  </si>
  <si>
    <t>24 DÍAS</t>
  </si>
  <si>
    <t>ESTOS SERÁN SUS BENEFICIOS EXTRAS</t>
  </si>
  <si>
    <t>PERSONALIZE LAS CIFRAS MENSUALES SEGÚN LA</t>
  </si>
  <si>
    <t>SITUACIÓN OPERATIVA DE SU ESTABLECIMIENTO</t>
  </si>
  <si>
    <t>Si ya está en funcionamiento, incluya solo los costos adicionales de las habitaciones recientemente ocupadas.             Si aún no está en funcionamiento, estime los costos totales asumiendo 100% de ocupación diaria.</t>
  </si>
  <si>
    <t>SOLO DE LAS HABITACIONES ANTES VACANTES AL 100% DE OCUPACIÓN</t>
  </si>
  <si>
    <t>INCLUÍDOS 10% DE IMPUESTOS Y 10% DE COMISIÓN</t>
  </si>
  <si>
    <t>(Neto después de todos los gastos, 10% impuestos y 10% comisión)</t>
  </si>
  <si>
    <t>DIAS DE LAS ESTANCIAS</t>
  </si>
  <si>
    <r>
      <rPr>
        <sz val="22"/>
        <color rgb="FF0D0298"/>
        <rFont val="Franklin Gothic Demi Cond"/>
        <family val="2"/>
      </rPr>
      <t xml:space="preserve">HOTEL-LIVING =                </t>
    </r>
    <r>
      <rPr>
        <sz val="22"/>
        <color rgb="FF05A720"/>
        <rFont val="Franklin Gothic Demi Cond"/>
        <family val="2"/>
      </rPr>
      <t xml:space="preserve"> BENEFICIOS EXTRAS</t>
    </r>
  </si>
  <si>
    <r>
      <t xml:space="preserve">HABITACIONES VACÍAS = </t>
    </r>
    <r>
      <rPr>
        <u/>
        <sz val="22"/>
        <color rgb="FFFF0000"/>
        <rFont val="Franklin Gothic Demi Cond"/>
        <family val="2"/>
      </rPr>
      <t>PÉRDIDAS</t>
    </r>
  </si>
  <si>
    <t>CALCULE PRECIOS QUE ASEGUREN 100% DE OCUPACIÓN</t>
  </si>
  <si>
    <t>(RELLENE LAS CELDAS VERDES)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</si>
</sst>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7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rgb="FF2A019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indexed="8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4"/>
      <color rgb="FF0E02A6"/>
      <name val="Calibri"/>
      <family val="2"/>
      <scheme val="minor"/>
    </font>
    <font>
      <b/>
      <sz val="11"/>
      <color theme="1"/>
      <name val="Franklin Gothic Demi Cond"/>
      <family val="2"/>
    </font>
    <font>
      <sz val="22"/>
      <color rgb="FF0D01A3"/>
      <name val="Franklin Gothic Demi Cond"/>
      <family val="2"/>
    </font>
    <font>
      <sz val="36"/>
      <color rgb="FF2A019D"/>
      <name val="Franklin Gothic Demi Cond"/>
      <family val="2"/>
    </font>
    <font>
      <sz val="26"/>
      <color rgb="FF0D01A3"/>
      <name val="Franklin Gothic Demi Cond"/>
      <family val="2"/>
    </font>
    <font>
      <sz val="18"/>
      <color rgb="FF2A019D"/>
      <name val="Franklin Gothic Demi Cond"/>
      <family val="2"/>
    </font>
    <font>
      <sz val="22"/>
      <color rgb="FF2A019D"/>
      <name val="Franklin Gothic Demi Cond"/>
      <family val="2"/>
    </font>
    <font>
      <sz val="20"/>
      <color rgb="FF2A019D"/>
      <name val="Franklin Gothic Demi Cond"/>
      <family val="2"/>
    </font>
    <font>
      <sz val="24"/>
      <color rgb="FF2A019D"/>
      <name val="Franklin Gothic Demi Cond"/>
      <family val="2"/>
    </font>
    <font>
      <sz val="26"/>
      <color theme="0"/>
      <name val="Franklin Gothic Demi Cond"/>
      <family val="2"/>
    </font>
    <font>
      <sz val="13"/>
      <color rgb="FF2A019D"/>
      <name val="Franklin Gothic Demi Cond"/>
      <family val="2"/>
    </font>
    <font>
      <sz val="26"/>
      <color rgb="FF2A019D"/>
      <name val="Franklin Gothic Demi Cond"/>
      <family val="2"/>
    </font>
    <font>
      <sz val="11"/>
      <color theme="1"/>
      <name val="Franklin Gothic Demi Cond"/>
      <family val="2"/>
    </font>
    <font>
      <sz val="36"/>
      <color rgb="FF0D01A3"/>
      <name val="Franklin Gothic Demi Cond"/>
      <family val="2"/>
    </font>
    <font>
      <sz val="30"/>
      <color rgb="FF0D01A3"/>
      <name val="Franklin Gothic Demi Cond"/>
      <family val="2"/>
    </font>
    <font>
      <sz val="28"/>
      <color rgb="FF2A019D"/>
      <name val="Franklin Gothic Demi Cond"/>
      <family val="2"/>
    </font>
    <font>
      <sz val="32"/>
      <color theme="0"/>
      <name val="Franklin Gothic Demi Cond"/>
      <family val="2"/>
    </font>
    <font>
      <sz val="20"/>
      <color rgb="FF2700B4"/>
      <name val="Franklin Gothic Demi Cond"/>
      <family val="2"/>
    </font>
    <font>
      <sz val="20"/>
      <color rgb="FF0D0298"/>
      <name val="Franklin Gothic Demi Cond"/>
      <family val="2"/>
    </font>
    <font>
      <sz val="34"/>
      <color rgb="FF2A019D"/>
      <name val="Franklin Gothic Demi Cond"/>
      <family val="2"/>
    </font>
    <font>
      <sz val="24"/>
      <color rgb="FF2700B4"/>
      <name val="Franklin Gothic Demi Cond"/>
      <family val="2"/>
    </font>
    <font>
      <b/>
      <sz val="42"/>
      <color theme="0"/>
      <name val="Calibri"/>
      <family val="2"/>
      <scheme val="minor"/>
    </font>
    <font>
      <sz val="28"/>
      <color theme="0"/>
      <name val="Franklin Gothic Demi Cond"/>
      <family val="2"/>
    </font>
    <font>
      <sz val="19"/>
      <color rgb="FF0D01A3"/>
      <name val="Franklin Gothic Demi Cond"/>
      <family val="2"/>
    </font>
    <font>
      <u/>
      <sz val="22"/>
      <color rgb="FF2A019D"/>
      <name val="Franklin Gothic Demi Cond"/>
      <family val="2"/>
    </font>
    <font>
      <sz val="30"/>
      <color rgb="FF2A019D"/>
      <name val="Franklin Gothic Demi Cond"/>
      <family val="2"/>
    </font>
    <font>
      <b/>
      <sz val="11"/>
      <color theme="0" tint="-0.14999847407452621"/>
      <name val="Franklin Gothic Demi Cond"/>
      <family val="2"/>
    </font>
    <font>
      <sz val="24"/>
      <color theme="0"/>
      <name val="Franklin Gothic Demi Cond"/>
      <family val="2"/>
    </font>
    <font>
      <sz val="24"/>
      <color rgb="FF0D01A3"/>
      <name val="Franklin Gothic Demi Cond"/>
      <family val="2"/>
    </font>
    <font>
      <sz val="36"/>
      <color rgb="FF2700B4"/>
      <name val="Franklin Gothic Demi Cond"/>
      <family val="2"/>
    </font>
    <font>
      <sz val="32"/>
      <color rgb="FF0D01A3"/>
      <name val="Franklin Gothic Demi Cond"/>
      <family val="2"/>
    </font>
    <font>
      <b/>
      <sz val="52"/>
      <color rgb="FF1701B7"/>
      <name val="Franklin Gothic Demi Cond"/>
      <family val="2"/>
    </font>
    <font>
      <sz val="20"/>
      <color rgb="FF1701B7"/>
      <name val="Franklin Gothic Demi Cond"/>
      <family val="2"/>
    </font>
    <font>
      <b/>
      <sz val="28"/>
      <color rgb="FF1701B7"/>
      <name val="Franklin Gothic Demi Cond"/>
      <family val="2"/>
    </font>
    <font>
      <b/>
      <sz val="32"/>
      <color rgb="FF1701B7"/>
      <name val="Franklin Gothic Demi Cond"/>
      <family val="2"/>
    </font>
    <font>
      <sz val="36"/>
      <color rgb="FF1701B7"/>
      <name val="Franklin Gothic Demi Cond"/>
      <family val="2"/>
    </font>
    <font>
      <sz val="22"/>
      <color rgb="FF2300A4"/>
      <name val="Franklin Gothic Demi Cond"/>
      <family val="2"/>
    </font>
    <font>
      <sz val="32"/>
      <color rgb="FF1701B7"/>
      <name val="Franklin Gothic Demi Cond"/>
      <family val="2"/>
    </font>
    <font>
      <u/>
      <sz val="32"/>
      <color rgb="FF1701B7"/>
      <name val="Franklin Gothic Demi Cond"/>
      <family val="2"/>
    </font>
    <font>
      <sz val="19"/>
      <color rgb="FF2A019D"/>
      <name val="Franklin Gothic Demi Cond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7"/>
      <color rgb="FF2A019D"/>
      <name val="Franklin Gothic Demi Cond"/>
      <family val="2"/>
    </font>
    <font>
      <sz val="18"/>
      <color rgb="FF1701B7"/>
      <name val="Franklin Gothic Demi Cond"/>
      <family val="2"/>
    </font>
    <font>
      <b/>
      <u/>
      <sz val="28"/>
      <color theme="10"/>
      <name val="Calibri"/>
      <family val="2"/>
      <scheme val="minor"/>
    </font>
    <font>
      <b/>
      <sz val="11"/>
      <name val="Franklin Gothic Demi Cond"/>
      <family val="2"/>
    </font>
    <font>
      <b/>
      <sz val="26"/>
      <name val="Franklin Gothic Demi Cond"/>
      <family val="2"/>
    </font>
    <font>
      <b/>
      <sz val="18"/>
      <color rgb="FFD9D9D9"/>
      <name val="Calibri"/>
      <family val="2"/>
      <scheme val="minor"/>
    </font>
    <font>
      <b/>
      <sz val="26"/>
      <color rgb="FFD9D9D9"/>
      <name val="Franklin Gothic Demi Cond"/>
      <family val="2"/>
    </font>
    <font>
      <b/>
      <sz val="11"/>
      <color rgb="FFD9D9D9"/>
      <name val="Franklin Gothic Demi Cond"/>
      <family val="2"/>
    </font>
    <font>
      <b/>
      <sz val="24"/>
      <name val="Franklin Gothic Demi Cond"/>
      <family val="2"/>
    </font>
    <font>
      <b/>
      <sz val="24"/>
      <color rgb="FFD9D9D9"/>
      <name val="Franklin Gothic Demi Cond"/>
      <family val="2"/>
    </font>
    <font>
      <b/>
      <sz val="10"/>
      <color rgb="FFD9D9D9"/>
      <name val="Franklin Gothic Demi Cond"/>
      <family val="2"/>
    </font>
    <font>
      <b/>
      <sz val="10"/>
      <color theme="0" tint="-0.14999847407452621"/>
      <name val="Franklin Gothic Demi Cond"/>
      <family val="2"/>
    </font>
    <font>
      <b/>
      <sz val="10"/>
      <color theme="1"/>
      <name val="Franklin Gothic Demi Cond"/>
      <family val="2"/>
    </font>
    <font>
      <b/>
      <sz val="11"/>
      <color rgb="FF00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rgb="FF006C00"/>
      <name val="Franklin Gothic Demi Cond"/>
      <family val="2"/>
    </font>
    <font>
      <sz val="22"/>
      <color theme="0"/>
      <name val="Franklin Gothic Demi Cond"/>
      <family val="2"/>
    </font>
    <font>
      <sz val="22"/>
      <color rgb="FF0D0298"/>
      <name val="Franklin Gothic Demi Cond"/>
      <family val="2"/>
    </font>
    <font>
      <sz val="22"/>
      <color rgb="FF05A720"/>
      <name val="Franklin Gothic Demi Cond"/>
      <family val="2"/>
    </font>
    <font>
      <u/>
      <sz val="22"/>
      <color rgb="FFFF0000"/>
      <name val="Franklin Gothic Demi Cond"/>
      <family val="2"/>
    </font>
    <font>
      <sz val="24"/>
      <color rgb="FF0E02A6"/>
      <name val="Franklin Gothic Demi Cond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1FFFF"/>
        <bgColor indexed="64"/>
      </patternFill>
    </fill>
    <fill>
      <patternFill patternType="solid">
        <fgColor rgb="FF66FE7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0F7FC"/>
        <bgColor indexed="64"/>
      </patternFill>
    </fill>
    <fill>
      <patternFill patternType="solid">
        <fgColor rgb="FFB0F7F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FFE8"/>
        <bgColor indexed="64"/>
      </patternFill>
    </fill>
    <fill>
      <patternFill patternType="solid">
        <fgColor rgb="FFF3FFF5"/>
        <bgColor indexed="64"/>
      </patternFill>
    </fill>
    <fill>
      <patternFill patternType="solid">
        <fgColor rgb="FF0D029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9990C"/>
        <bgColor indexed="64"/>
      </patternFill>
    </fill>
    <fill>
      <patternFill patternType="solid">
        <fgColor rgb="FF98EBFE"/>
        <bgColor indexed="64"/>
      </patternFill>
    </fill>
    <fill>
      <patternFill patternType="solid">
        <fgColor rgb="FFDAF8F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ACFEB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3FAF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6800A8"/>
        <bgColor indexed="64"/>
      </patternFill>
    </fill>
  </fills>
  <borders count="37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ouble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 style="double">
        <color auto="1"/>
      </bottom>
      <diagonal/>
    </border>
    <border>
      <left/>
      <right/>
      <top/>
      <bottom style="dashed">
        <color auto="1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188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3" fillId="5" borderId="8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9" fillId="7" borderId="7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164" fontId="20" fillId="8" borderId="8" xfId="0" applyNumberFormat="1" applyFont="1" applyFill="1" applyBorder="1" applyAlignment="1">
      <alignment horizontal="right" vertical="center"/>
    </xf>
    <xf numFmtId="0" fontId="14" fillId="7" borderId="8" xfId="0" applyFont="1" applyFill="1" applyBorder="1" applyAlignment="1">
      <alignment horizontal="center" vertical="center" wrapText="1"/>
    </xf>
    <xf numFmtId="164" fontId="20" fillId="10" borderId="13" xfId="0" applyNumberFormat="1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right" vertical="center" wrapText="1"/>
    </xf>
    <xf numFmtId="0" fontId="16" fillId="11" borderId="12" xfId="0" applyFont="1" applyFill="1" applyBorder="1" applyAlignment="1">
      <alignment horizontal="right" vertical="center"/>
    </xf>
    <xf numFmtId="0" fontId="16" fillId="11" borderId="14" xfId="0" applyFont="1" applyFill="1" applyBorder="1" applyAlignment="1">
      <alignment horizontal="right" vertical="center"/>
    </xf>
    <xf numFmtId="0" fontId="14" fillId="11" borderId="12" xfId="0" applyFont="1" applyFill="1" applyBorder="1" applyAlignment="1">
      <alignment horizontal="right" vertical="center"/>
    </xf>
    <xf numFmtId="0" fontId="26" fillId="11" borderId="15" xfId="0" applyFont="1" applyFill="1" applyBorder="1" applyAlignment="1">
      <alignment horizontal="right" vertical="center" wrapText="1"/>
    </xf>
    <xf numFmtId="0" fontId="14" fillId="11" borderId="7" xfId="0" applyFont="1" applyFill="1" applyBorder="1" applyAlignment="1">
      <alignment horizontal="right" vertical="center" wrapText="1"/>
    </xf>
    <xf numFmtId="164" fontId="17" fillId="12" borderId="8" xfId="0" applyNumberFormat="1" applyFont="1" applyFill="1" applyBorder="1" applyAlignment="1">
      <alignment vertical="center"/>
    </xf>
    <xf numFmtId="164" fontId="20" fillId="9" borderId="23" xfId="0" applyNumberFormat="1" applyFont="1" applyFill="1" applyBorder="1" applyAlignment="1">
      <alignment horizontal="right" vertical="center"/>
    </xf>
    <xf numFmtId="0" fontId="13" fillId="4" borderId="21" xfId="0" applyFont="1" applyFill="1" applyBorder="1" applyAlignment="1">
      <alignment vertical="center" wrapText="1"/>
    </xf>
    <xf numFmtId="164" fontId="17" fillId="10" borderId="18" xfId="0" applyNumberFormat="1" applyFont="1" applyFill="1" applyBorder="1" applyAlignment="1">
      <alignment horizontal="right" vertical="center"/>
    </xf>
    <xf numFmtId="0" fontId="13" fillId="4" borderId="24" xfId="0" applyFont="1" applyFill="1" applyBorder="1" applyAlignment="1">
      <alignment horizontal="center" vertical="center" wrapText="1"/>
    </xf>
    <xf numFmtId="0" fontId="10" fillId="16" borderId="0" xfId="0" applyFont="1" applyFill="1" applyAlignment="1">
      <alignment vertical="center"/>
    </xf>
    <xf numFmtId="0" fontId="21" fillId="16" borderId="0" xfId="0" applyFont="1" applyFill="1" applyAlignment="1">
      <alignment vertical="center"/>
    </xf>
    <xf numFmtId="164" fontId="20" fillId="8" borderId="23" xfId="0" applyNumberFormat="1" applyFont="1" applyFill="1" applyBorder="1" applyAlignment="1">
      <alignment horizontal="right" vertical="center"/>
    </xf>
    <xf numFmtId="0" fontId="35" fillId="2" borderId="0" xfId="0" applyFont="1" applyFill="1" applyAlignment="1">
      <alignment vertical="center"/>
    </xf>
    <xf numFmtId="0" fontId="1" fillId="2" borderId="0" xfId="0" applyFont="1" applyFill="1"/>
    <xf numFmtId="0" fontId="1" fillId="3" borderId="0" xfId="0" applyFont="1" applyFill="1"/>
    <xf numFmtId="164" fontId="20" fillId="20" borderId="13" xfId="0" applyNumberFormat="1" applyFont="1" applyFill="1" applyBorder="1" applyAlignment="1" applyProtection="1">
      <alignment horizontal="center" vertical="center"/>
      <protection locked="0"/>
    </xf>
    <xf numFmtId="164" fontId="15" fillId="20" borderId="8" xfId="0" applyNumberFormat="1" applyFont="1" applyFill="1" applyBorder="1" applyAlignment="1" applyProtection="1">
      <alignment horizontal="right" vertical="center"/>
      <protection locked="0"/>
    </xf>
    <xf numFmtId="164" fontId="24" fillId="20" borderId="8" xfId="0" applyNumberFormat="1" applyFont="1" applyFill="1" applyBorder="1" applyAlignment="1" applyProtection="1">
      <alignment horizontal="right" vertical="center"/>
      <protection locked="0"/>
    </xf>
    <xf numFmtId="0" fontId="33" fillId="21" borderId="7" xfId="0" applyFont="1" applyFill="1" applyBorder="1" applyAlignment="1">
      <alignment horizontal="right" vertical="center" wrapText="1"/>
    </xf>
    <xf numFmtId="164" fontId="24" fillId="9" borderId="11" xfId="0" applyNumberFormat="1" applyFont="1" applyFill="1" applyBorder="1" applyAlignment="1">
      <alignment horizontal="right" vertical="center"/>
    </xf>
    <xf numFmtId="164" fontId="20" fillId="8" borderId="36" xfId="0" applyNumberFormat="1" applyFont="1" applyFill="1" applyBorder="1" applyAlignment="1">
      <alignment vertical="center"/>
    </xf>
    <xf numFmtId="164" fontId="20" fillId="9" borderId="22" xfId="0" applyNumberFormat="1" applyFont="1" applyFill="1" applyBorder="1" applyAlignment="1">
      <alignment vertical="center"/>
    </xf>
    <xf numFmtId="164" fontId="20" fillId="8" borderId="22" xfId="0" applyNumberFormat="1" applyFont="1" applyFill="1" applyBorder="1" applyAlignment="1">
      <alignment vertical="center"/>
    </xf>
    <xf numFmtId="164" fontId="24" fillId="9" borderId="35" xfId="0" applyNumberFormat="1" applyFont="1" applyFill="1" applyBorder="1" applyAlignment="1">
      <alignment vertical="center"/>
    </xf>
    <xf numFmtId="9" fontId="24" fillId="20" borderId="20" xfId="0" applyNumberFormat="1" applyFont="1" applyFill="1" applyBorder="1" applyAlignment="1" applyProtection="1">
      <alignment vertical="center" wrapText="1"/>
      <protection locked="0"/>
    </xf>
    <xf numFmtId="0" fontId="48" fillId="15" borderId="12" xfId="0" applyFont="1" applyFill="1" applyBorder="1" applyAlignment="1">
      <alignment horizontal="right" vertical="center" wrapText="1"/>
    </xf>
    <xf numFmtId="0" fontId="48" fillId="15" borderId="12" xfId="0" applyFont="1" applyFill="1" applyBorder="1" applyAlignment="1">
      <alignment horizontal="right" vertical="center"/>
    </xf>
    <xf numFmtId="164" fontId="17" fillId="12" borderId="16" xfId="0" applyNumberFormat="1" applyFont="1" applyFill="1" applyBorder="1" applyAlignment="1">
      <alignment vertical="center"/>
    </xf>
    <xf numFmtId="9" fontId="24" fillId="20" borderId="3" xfId="0" applyNumberFormat="1" applyFont="1" applyFill="1" applyBorder="1" applyAlignment="1" applyProtection="1">
      <alignment vertical="center" wrapText="1"/>
      <protection locked="0"/>
    </xf>
    <xf numFmtId="0" fontId="14" fillId="20" borderId="7" xfId="0" applyFont="1" applyFill="1" applyBorder="1" applyAlignment="1" applyProtection="1">
      <alignment horizontal="right" vertical="center" wrapText="1"/>
      <protection locked="0"/>
    </xf>
    <xf numFmtId="164" fontId="15" fillId="22" borderId="8" xfId="0" applyNumberFormat="1" applyFont="1" applyFill="1" applyBorder="1" applyAlignment="1" applyProtection="1">
      <alignment horizontal="right" vertical="center"/>
      <protection locked="0"/>
    </xf>
    <xf numFmtId="0" fontId="51" fillId="11" borderId="7" xfId="0" applyFont="1" applyFill="1" applyBorder="1" applyAlignment="1">
      <alignment horizontal="right" vertical="center" wrapText="1"/>
    </xf>
    <xf numFmtId="0" fontId="16" fillId="11" borderId="17" xfId="0" applyFont="1" applyFill="1" applyBorder="1" applyAlignment="1">
      <alignment horizontal="right" vertical="center" wrapText="1"/>
    </xf>
    <xf numFmtId="9" fontId="20" fillId="20" borderId="16" xfId="0" applyNumberFormat="1" applyFont="1" applyFill="1" applyBorder="1" applyAlignment="1">
      <alignment horizontal="center" vertical="center"/>
    </xf>
    <xf numFmtId="0" fontId="54" fillId="2" borderId="0" xfId="0" applyFont="1" applyFill="1" applyAlignment="1">
      <alignment vertical="center"/>
    </xf>
    <xf numFmtId="164" fontId="55" fillId="2" borderId="0" xfId="0" applyNumberFormat="1" applyFont="1" applyFill="1" applyAlignment="1">
      <alignment vertical="center"/>
    </xf>
    <xf numFmtId="0" fontId="56" fillId="2" borderId="0" xfId="0" applyFont="1" applyFill="1" applyAlignment="1">
      <alignment horizontal="center" vertical="center"/>
    </xf>
    <xf numFmtId="164" fontId="57" fillId="2" borderId="0" xfId="0" applyNumberFormat="1" applyFont="1" applyFill="1" applyAlignment="1">
      <alignment vertical="center"/>
    </xf>
    <xf numFmtId="0" fontId="57" fillId="2" borderId="0" xfId="0" applyFont="1" applyFill="1" applyAlignment="1">
      <alignment vertical="center"/>
    </xf>
    <xf numFmtId="0" fontId="58" fillId="2" borderId="0" xfId="0" applyFont="1" applyFill="1" applyAlignment="1">
      <alignment vertical="center"/>
    </xf>
    <xf numFmtId="164" fontId="59" fillId="2" borderId="0" xfId="0" applyNumberFormat="1" applyFont="1" applyFill="1" applyAlignment="1">
      <alignment vertical="center"/>
    </xf>
    <xf numFmtId="164" fontId="60" fillId="2" borderId="0" xfId="0" applyNumberFormat="1" applyFont="1" applyFill="1" applyAlignment="1">
      <alignment vertical="center"/>
    </xf>
    <xf numFmtId="0" fontId="60" fillId="2" borderId="0" xfId="0" applyFont="1" applyFill="1" applyAlignment="1">
      <alignment vertical="center"/>
    </xf>
    <xf numFmtId="164" fontId="60" fillId="2" borderId="0" xfId="0" applyNumberFormat="1" applyFont="1" applyFill="1" applyAlignment="1">
      <alignment horizontal="center" vertical="center"/>
    </xf>
    <xf numFmtId="164" fontId="60" fillId="24" borderId="0" xfId="0" applyNumberFormat="1" applyFont="1" applyFill="1" applyAlignment="1">
      <alignment vertical="center"/>
    </xf>
    <xf numFmtId="0" fontId="61" fillId="2" borderId="0" xfId="0" applyFont="1" applyFill="1" applyAlignment="1">
      <alignment vertical="center"/>
    </xf>
    <xf numFmtId="0" fontId="62" fillId="2" borderId="0" xfId="0" applyFont="1" applyFill="1" applyAlignment="1">
      <alignment vertical="center"/>
    </xf>
    <xf numFmtId="0" fontId="63" fillId="2" borderId="0" xfId="0" applyFont="1" applyFill="1" applyAlignment="1">
      <alignment vertical="center"/>
    </xf>
    <xf numFmtId="0" fontId="64" fillId="2" borderId="0" xfId="0" applyFont="1" applyFill="1" applyAlignment="1">
      <alignment vertical="center"/>
    </xf>
    <xf numFmtId="0" fontId="1" fillId="24" borderId="0" xfId="0" applyFont="1" applyFill="1" applyAlignment="1">
      <alignment vertical="center"/>
    </xf>
    <xf numFmtId="164" fontId="65" fillId="2" borderId="0" xfId="0" applyNumberFormat="1" applyFont="1" applyFill="1" applyAlignment="1">
      <alignment horizontal="center" vertical="center"/>
    </xf>
    <xf numFmtId="0" fontId="67" fillId="25" borderId="0" xfId="0" applyFont="1" applyFill="1" applyAlignment="1">
      <alignment horizontal="center" vertical="center" wrapText="1"/>
    </xf>
    <xf numFmtId="0" fontId="67" fillId="25" borderId="8" xfId="0" applyFont="1" applyFill="1" applyBorder="1" applyAlignment="1">
      <alignment horizontal="center" vertical="center" wrapText="1"/>
    </xf>
    <xf numFmtId="164" fontId="24" fillId="23" borderId="7" xfId="0" applyNumberFormat="1" applyFont="1" applyFill="1" applyBorder="1" applyAlignment="1">
      <alignment vertical="center" wrapText="1"/>
    </xf>
    <xf numFmtId="0" fontId="37" fillId="23" borderId="0" xfId="0" applyFont="1" applyFill="1" applyAlignment="1">
      <alignment horizontal="left" vertical="center" wrapText="1"/>
    </xf>
    <xf numFmtId="164" fontId="24" fillId="23" borderId="0" xfId="0" applyNumberFormat="1" applyFont="1" applyFill="1" applyAlignment="1">
      <alignment horizontal="right" vertical="center" wrapText="1"/>
    </xf>
    <xf numFmtId="0" fontId="37" fillId="23" borderId="8" xfId="0" applyFont="1" applyFill="1" applyBorder="1" applyAlignment="1">
      <alignment vertical="center" wrapText="1"/>
    </xf>
    <xf numFmtId="0" fontId="9" fillId="18" borderId="7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 vertical="center" wrapText="1"/>
    </xf>
    <xf numFmtId="0" fontId="9" fillId="18" borderId="8" xfId="0" applyFont="1" applyFill="1" applyBorder="1" applyAlignment="1">
      <alignment horizontal="center" vertical="center" wrapText="1"/>
    </xf>
    <xf numFmtId="164" fontId="9" fillId="18" borderId="9" xfId="0" applyNumberFormat="1" applyFont="1" applyFill="1" applyBorder="1" applyAlignment="1">
      <alignment horizontal="center" vertical="center" wrapText="1"/>
    </xf>
    <xf numFmtId="164" fontId="9" fillId="18" borderId="10" xfId="0" applyNumberFormat="1" applyFont="1" applyFill="1" applyBorder="1" applyAlignment="1">
      <alignment horizontal="center" vertical="center" wrapText="1"/>
    </xf>
    <xf numFmtId="164" fontId="9" fillId="18" borderId="11" xfId="0" applyNumberFormat="1" applyFont="1" applyFill="1" applyBorder="1" applyAlignment="1">
      <alignment horizontal="center" vertical="center" wrapText="1"/>
    </xf>
    <xf numFmtId="0" fontId="20" fillId="11" borderId="24" xfId="0" applyFont="1" applyFill="1" applyBorder="1" applyAlignment="1">
      <alignment horizontal="center" vertical="center" wrapText="1"/>
    </xf>
    <xf numFmtId="0" fontId="20" fillId="11" borderId="26" xfId="0" applyFont="1" applyFill="1" applyBorder="1" applyAlignment="1">
      <alignment horizontal="center" vertical="center" wrapText="1"/>
    </xf>
    <xf numFmtId="164" fontId="20" fillId="19" borderId="25" xfId="0" applyNumberFormat="1" applyFont="1" applyFill="1" applyBorder="1" applyAlignment="1">
      <alignment horizontal="center" vertical="center" wrapText="1"/>
    </xf>
    <xf numFmtId="164" fontId="20" fillId="19" borderId="27" xfId="0" applyNumberFormat="1" applyFont="1" applyFill="1" applyBorder="1" applyAlignment="1">
      <alignment horizontal="center" vertical="center" wrapText="1"/>
    </xf>
    <xf numFmtId="0" fontId="42" fillId="18" borderId="7" xfId="0" applyFont="1" applyFill="1" applyBorder="1" applyAlignment="1">
      <alignment horizontal="center" vertical="center" wrapText="1"/>
    </xf>
    <xf numFmtId="0" fontId="42" fillId="18" borderId="8" xfId="0" applyFont="1" applyFill="1" applyBorder="1" applyAlignment="1">
      <alignment horizontal="center" vertical="center" wrapText="1"/>
    </xf>
    <xf numFmtId="0" fontId="43" fillId="18" borderId="7" xfId="0" applyFont="1" applyFill="1" applyBorder="1" applyAlignment="1">
      <alignment horizontal="center" vertical="center" wrapText="1"/>
    </xf>
    <xf numFmtId="0" fontId="43" fillId="18" borderId="8" xfId="0" applyFont="1" applyFill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20" fillId="2" borderId="8" xfId="0" applyFont="1" applyFill="1" applyBorder="1" applyAlignment="1">
      <alignment horizontal="center" vertical="center" wrapText="1"/>
    </xf>
    <xf numFmtId="0" fontId="41" fillId="18" borderId="7" xfId="0" applyFont="1" applyFill="1" applyBorder="1" applyAlignment="1">
      <alignment horizontal="center" vertical="center" wrapText="1"/>
    </xf>
    <xf numFmtId="0" fontId="41" fillId="18" borderId="8" xfId="0" applyFont="1" applyFill="1" applyBorder="1" applyAlignment="1">
      <alignment horizontal="center" vertical="center" wrapText="1"/>
    </xf>
    <xf numFmtId="0" fontId="41" fillId="18" borderId="15" xfId="0" applyFont="1" applyFill="1" applyBorder="1" applyAlignment="1">
      <alignment horizontal="center" vertical="center" wrapText="1"/>
    </xf>
    <xf numFmtId="0" fontId="41" fillId="18" borderId="16" xfId="0" applyFont="1" applyFill="1" applyBorder="1" applyAlignment="1">
      <alignment horizontal="center" vertical="center" wrapText="1"/>
    </xf>
    <xf numFmtId="0" fontId="52" fillId="18" borderId="7" xfId="0" applyFont="1" applyFill="1" applyBorder="1" applyAlignment="1">
      <alignment horizontal="center" vertical="center" wrapText="1"/>
    </xf>
    <xf numFmtId="0" fontId="52" fillId="18" borderId="8" xfId="0" applyFont="1" applyFill="1" applyBorder="1" applyAlignment="1">
      <alignment horizontal="center" vertical="center" wrapText="1"/>
    </xf>
    <xf numFmtId="0" fontId="68" fillId="6" borderId="4" xfId="0" applyFont="1" applyFill="1" applyBorder="1" applyAlignment="1">
      <alignment horizontal="center" vertical="center" wrapText="1"/>
    </xf>
    <xf numFmtId="0" fontId="68" fillId="6" borderId="6" xfId="0" applyFont="1" applyFill="1" applyBorder="1" applyAlignment="1">
      <alignment horizontal="center" vertical="center" wrapText="1"/>
    </xf>
    <xf numFmtId="0" fontId="68" fillId="6" borderId="7" xfId="0" applyFont="1" applyFill="1" applyBorder="1" applyAlignment="1">
      <alignment horizontal="center" vertical="center" wrapText="1"/>
    </xf>
    <xf numFmtId="0" fontId="68" fillId="6" borderId="8" xfId="0" applyFont="1" applyFill="1" applyBorder="1" applyAlignment="1">
      <alignment horizontal="center" vertical="center" wrapText="1"/>
    </xf>
    <xf numFmtId="0" fontId="27" fillId="6" borderId="8" xfId="0" applyFont="1" applyFill="1" applyBorder="1" applyAlignment="1">
      <alignment horizontal="center" vertical="center" wrapText="1"/>
    </xf>
    <xf numFmtId="0" fontId="27" fillId="6" borderId="7" xfId="0" applyFont="1" applyFill="1" applyBorder="1" applyAlignment="1">
      <alignment horizontal="center" vertical="center" wrapText="1"/>
    </xf>
    <xf numFmtId="0" fontId="71" fillId="6" borderId="7" xfId="0" applyFont="1" applyFill="1" applyBorder="1" applyAlignment="1">
      <alignment horizontal="center" vertical="center" wrapText="1"/>
    </xf>
    <xf numFmtId="0" fontId="71" fillId="6" borderId="8" xfId="0" applyFont="1" applyFill="1" applyBorder="1" applyAlignment="1">
      <alignment horizontal="center" vertical="center" wrapText="1"/>
    </xf>
    <xf numFmtId="0" fontId="71" fillId="6" borderId="9" xfId="0" applyFont="1" applyFill="1" applyBorder="1" applyAlignment="1">
      <alignment horizontal="center" vertical="center" wrapText="1"/>
    </xf>
    <xf numFmtId="0" fontId="71" fillId="6" borderId="11" xfId="0" applyFont="1" applyFill="1" applyBorder="1" applyAlignment="1">
      <alignment horizontal="center" vertical="center" wrapText="1"/>
    </xf>
    <xf numFmtId="164" fontId="28" fillId="17" borderId="32" xfId="0" applyNumberFormat="1" applyFont="1" applyFill="1" applyBorder="1" applyAlignment="1">
      <alignment horizontal="center" vertical="center" wrapText="1"/>
    </xf>
    <xf numFmtId="164" fontId="28" fillId="17" borderId="26" xfId="0" applyNumberFormat="1" applyFont="1" applyFill="1" applyBorder="1" applyAlignment="1">
      <alignment horizontal="center" vertical="center" wrapText="1"/>
    </xf>
    <xf numFmtId="164" fontId="12" fillId="17" borderId="19" xfId="0" applyNumberFormat="1" applyFont="1" applyFill="1" applyBorder="1" applyAlignment="1">
      <alignment horizontal="center" vertical="center" wrapText="1"/>
    </xf>
    <xf numFmtId="164" fontId="12" fillId="17" borderId="34" xfId="0" applyNumberFormat="1" applyFont="1" applyFill="1" applyBorder="1" applyAlignment="1">
      <alignment horizontal="center" vertical="center" wrapText="1"/>
    </xf>
    <xf numFmtId="0" fontId="13" fillId="4" borderId="21" xfId="0" applyFont="1" applyFill="1" applyBorder="1" applyAlignment="1">
      <alignment horizontal="center" vertical="center" wrapText="1"/>
    </xf>
    <xf numFmtId="0" fontId="13" fillId="4" borderId="31" xfId="0" applyFont="1" applyFill="1" applyBorder="1" applyAlignment="1">
      <alignment horizontal="center" vertical="center" wrapText="1"/>
    </xf>
    <xf numFmtId="164" fontId="28" fillId="17" borderId="19" xfId="0" applyNumberFormat="1" applyFont="1" applyFill="1" applyBorder="1" applyAlignment="1">
      <alignment horizontal="center" vertical="center" wrapText="1"/>
    </xf>
    <xf numFmtId="164" fontId="28" fillId="17" borderId="33" xfId="0" applyNumberFormat="1" applyFont="1" applyFill="1" applyBorder="1" applyAlignment="1">
      <alignment horizontal="center" vertical="center" wrapText="1"/>
    </xf>
    <xf numFmtId="164" fontId="28" fillId="17" borderId="34" xfId="0" applyNumberFormat="1" applyFont="1" applyFill="1" applyBorder="1" applyAlignment="1">
      <alignment horizontal="center" vertical="center" wrapText="1"/>
    </xf>
    <xf numFmtId="164" fontId="28" fillId="17" borderId="27" xfId="0" applyNumberFormat="1" applyFont="1" applyFill="1" applyBorder="1" applyAlignment="1">
      <alignment horizontal="center" vertical="center" wrapText="1"/>
    </xf>
    <xf numFmtId="164" fontId="24" fillId="20" borderId="0" xfId="0" applyNumberFormat="1" applyFont="1" applyFill="1" applyAlignment="1" applyProtection="1">
      <alignment horizontal="center" vertical="center"/>
      <protection locked="0"/>
    </xf>
    <xf numFmtId="164" fontId="17" fillId="12" borderId="0" xfId="0" applyNumberFormat="1" applyFont="1" applyFill="1" applyAlignment="1">
      <alignment horizontal="center" vertical="center"/>
    </xf>
    <xf numFmtId="164" fontId="17" fillId="12" borderId="21" xfId="0" applyNumberFormat="1" applyFont="1" applyFill="1" applyBorder="1" applyAlignment="1">
      <alignment horizontal="center" vertical="center"/>
    </xf>
    <xf numFmtId="0" fontId="22" fillId="4" borderId="28" xfId="0" applyFont="1" applyFill="1" applyBorder="1" applyAlignment="1">
      <alignment horizontal="center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0" fontId="32" fillId="4" borderId="24" xfId="0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2" fillId="4" borderId="25" xfId="0" applyFont="1" applyFill="1" applyBorder="1" applyAlignment="1">
      <alignment horizontal="center" vertical="center"/>
    </xf>
    <xf numFmtId="0" fontId="25" fillId="25" borderId="4" xfId="0" applyFont="1" applyFill="1" applyBorder="1" applyAlignment="1">
      <alignment horizontal="center" vertical="center" wrapText="1"/>
    </xf>
    <xf numFmtId="0" fontId="25" fillId="25" borderId="5" xfId="0" applyFont="1" applyFill="1" applyBorder="1" applyAlignment="1">
      <alignment horizontal="center" vertical="center" wrapText="1"/>
    </xf>
    <xf numFmtId="0" fontId="25" fillId="25" borderId="6" xfId="0" applyFont="1" applyFill="1" applyBorder="1" applyAlignment="1">
      <alignment horizontal="center" vertical="center" wrapText="1"/>
    </xf>
    <xf numFmtId="0" fontId="67" fillId="25" borderId="7" xfId="0" applyFont="1" applyFill="1" applyBorder="1" applyAlignment="1">
      <alignment horizontal="center" vertical="center" wrapText="1"/>
    </xf>
    <xf numFmtId="0" fontId="67" fillId="25" borderId="0" xfId="0" applyFont="1" applyFill="1" applyAlignment="1">
      <alignment horizontal="center" vertical="center" wrapText="1"/>
    </xf>
    <xf numFmtId="0" fontId="20" fillId="8" borderId="7" xfId="0" applyFont="1" applyFill="1" applyBorder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34" fillId="9" borderId="9" xfId="0" applyFont="1" applyFill="1" applyBorder="1" applyAlignment="1">
      <alignment horizontal="center" vertical="center"/>
    </xf>
    <xf numFmtId="0" fontId="34" fillId="9" borderId="10" xfId="0" applyFont="1" applyFill="1" applyBorder="1" applyAlignment="1">
      <alignment horizontal="center" vertical="center"/>
    </xf>
    <xf numFmtId="0" fontId="30" fillId="25" borderId="9" xfId="0" applyFont="1" applyFill="1" applyBorder="1" applyAlignment="1">
      <alignment horizontal="center" vertical="center"/>
    </xf>
    <xf numFmtId="0" fontId="30" fillId="25" borderId="10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 wrapText="1"/>
    </xf>
    <xf numFmtId="0" fontId="38" fillId="4" borderId="0" xfId="0" applyFont="1" applyFill="1" applyAlignment="1">
      <alignment horizontal="center" vertical="center" wrapText="1"/>
    </xf>
    <xf numFmtId="0" fontId="38" fillId="4" borderId="8" xfId="0" applyFont="1" applyFill="1" applyBorder="1" applyAlignment="1">
      <alignment horizontal="center" vertical="center" wrapText="1"/>
    </xf>
    <xf numFmtId="0" fontId="23" fillId="4" borderId="7" xfId="0" applyFont="1" applyFill="1" applyBorder="1" applyAlignment="1">
      <alignment horizontal="center" vertical="center" wrapText="1"/>
    </xf>
    <xf numFmtId="0" fontId="23" fillId="4" borderId="0" xfId="0" applyFont="1" applyFill="1" applyAlignment="1">
      <alignment horizontal="center" vertical="center" wrapText="1"/>
    </xf>
    <xf numFmtId="0" fontId="39" fillId="17" borderId="7" xfId="0" applyFont="1" applyFill="1" applyBorder="1" applyAlignment="1">
      <alignment horizontal="center" wrapText="1"/>
    </xf>
    <xf numFmtId="0" fontId="39" fillId="17" borderId="0" xfId="0" applyFont="1" applyFill="1" applyAlignment="1">
      <alignment horizontal="center" wrapText="1"/>
    </xf>
    <xf numFmtId="0" fontId="39" fillId="17" borderId="8" xfId="0" applyFont="1" applyFill="1" applyBorder="1" applyAlignment="1">
      <alignment horizontal="center" wrapText="1"/>
    </xf>
    <xf numFmtId="0" fontId="13" fillId="17" borderId="7" xfId="0" applyFont="1" applyFill="1" applyBorder="1" applyAlignment="1">
      <alignment horizontal="center" vertical="center" wrapText="1"/>
    </xf>
    <xf numFmtId="0" fontId="13" fillId="17" borderId="0" xfId="0" applyFont="1" applyFill="1" applyAlignment="1">
      <alignment horizontal="center" vertical="center" wrapText="1"/>
    </xf>
    <xf numFmtId="0" fontId="13" fillId="17" borderId="8" xfId="0" applyFont="1" applyFill="1" applyBorder="1" applyAlignment="1">
      <alignment horizontal="center" vertical="center" wrapText="1"/>
    </xf>
    <xf numFmtId="0" fontId="66" fillId="5" borderId="4" xfId="0" applyFont="1" applyFill="1" applyBorder="1" applyAlignment="1">
      <alignment horizontal="center" vertical="center"/>
    </xf>
    <xf numFmtId="0" fontId="66" fillId="5" borderId="5" xfId="0" applyFont="1" applyFill="1" applyBorder="1" applyAlignment="1">
      <alignment horizontal="center" vertical="center"/>
    </xf>
    <xf numFmtId="0" fontId="66" fillId="5" borderId="6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wrapText="1"/>
    </xf>
    <xf numFmtId="0" fontId="11" fillId="18" borderId="0" xfId="0" applyFont="1" applyFill="1" applyAlignment="1">
      <alignment horizontal="center" wrapText="1"/>
    </xf>
    <xf numFmtId="0" fontId="11" fillId="18" borderId="8" xfId="0" applyFont="1" applyFill="1" applyBorder="1" applyAlignment="1">
      <alignment horizontal="center" wrapText="1"/>
    </xf>
    <xf numFmtId="0" fontId="36" fillId="25" borderId="4" xfId="0" applyFont="1" applyFill="1" applyBorder="1" applyAlignment="1">
      <alignment horizontal="center" vertical="center" wrapText="1"/>
    </xf>
    <xf numFmtId="0" fontId="36" fillId="25" borderId="6" xfId="0" applyFont="1" applyFill="1" applyBorder="1" applyAlignment="1">
      <alignment horizontal="center" vertical="center" wrapText="1"/>
    </xf>
    <xf numFmtId="0" fontId="36" fillId="25" borderId="7" xfId="0" applyFont="1" applyFill="1" applyBorder="1" applyAlignment="1">
      <alignment horizontal="center" vertical="center" wrapText="1"/>
    </xf>
    <xf numFmtId="0" fontId="36" fillId="25" borderId="8" xfId="0" applyFont="1" applyFill="1" applyBorder="1" applyAlignment="1">
      <alignment horizontal="center" vertical="center" wrapText="1"/>
    </xf>
    <xf numFmtId="0" fontId="36" fillId="25" borderId="9" xfId="0" applyFont="1" applyFill="1" applyBorder="1" applyAlignment="1">
      <alignment horizontal="center" vertical="center" wrapText="1"/>
    </xf>
    <xf numFmtId="0" fontId="36" fillId="25" borderId="11" xfId="0" applyFont="1" applyFill="1" applyBorder="1" applyAlignment="1">
      <alignment horizontal="center" vertical="center" wrapText="1"/>
    </xf>
    <xf numFmtId="0" fontId="29" fillId="23" borderId="7" xfId="0" applyFont="1" applyFill="1" applyBorder="1" applyAlignment="1">
      <alignment horizontal="center" vertical="center" wrapText="1"/>
    </xf>
    <xf numFmtId="0" fontId="29" fillId="23" borderId="0" xfId="0" applyFont="1" applyFill="1" applyAlignment="1">
      <alignment horizontal="center" vertical="center" wrapText="1"/>
    </xf>
    <xf numFmtId="0" fontId="29" fillId="23" borderId="8" xfId="0" applyFont="1" applyFill="1" applyBorder="1" applyAlignment="1">
      <alignment horizontal="center" vertical="center" wrapText="1"/>
    </xf>
    <xf numFmtId="0" fontId="53" fillId="2" borderId="0" xfId="1" applyFont="1" applyFill="1" applyAlignment="1">
      <alignment horizontal="center" vertical="top"/>
    </xf>
    <xf numFmtId="0" fontId="53" fillId="2" borderId="8" xfId="1" applyFont="1" applyFill="1" applyBorder="1" applyAlignment="1">
      <alignment horizontal="center" vertical="top"/>
    </xf>
    <xf numFmtId="164" fontId="12" fillId="17" borderId="7" xfId="0" applyNumberFormat="1" applyFont="1" applyFill="1" applyBorder="1" applyAlignment="1">
      <alignment horizontal="center" vertical="center" wrapText="1"/>
    </xf>
    <xf numFmtId="164" fontId="12" fillId="17" borderId="0" xfId="0" applyNumberFormat="1" applyFont="1" applyFill="1" applyAlignment="1">
      <alignment horizontal="center" vertical="center" wrapText="1"/>
    </xf>
    <xf numFmtId="164" fontId="12" fillId="17" borderId="8" xfId="0" applyNumberFormat="1" applyFont="1" applyFill="1" applyBorder="1" applyAlignment="1">
      <alignment horizontal="center" vertical="center" wrapText="1"/>
    </xf>
    <xf numFmtId="0" fontId="2" fillId="25" borderId="7" xfId="0" applyFont="1" applyFill="1" applyBorder="1" applyAlignment="1">
      <alignment horizontal="center" vertical="center"/>
    </xf>
    <xf numFmtId="0" fontId="2" fillId="25" borderId="0" xfId="0" applyFont="1" applyFill="1" applyAlignment="1">
      <alignment horizontal="center" vertical="center"/>
    </xf>
    <xf numFmtId="0" fontId="36" fillId="25" borderId="5" xfId="0" applyFont="1" applyFill="1" applyBorder="1" applyAlignment="1">
      <alignment horizontal="center" vertical="center" wrapText="1"/>
    </xf>
    <xf numFmtId="0" fontId="45" fillId="13" borderId="14" xfId="0" applyFont="1" applyFill="1" applyBorder="1" applyAlignment="1">
      <alignment horizontal="right" vertical="center" wrapText="1"/>
    </xf>
    <xf numFmtId="0" fontId="45" fillId="13" borderId="19" xfId="0" applyFont="1" applyFill="1" applyBorder="1" applyAlignment="1">
      <alignment horizontal="right" vertical="center" wrapText="1"/>
    </xf>
    <xf numFmtId="0" fontId="45" fillId="13" borderId="1" xfId="0" applyFont="1" applyFill="1" applyBorder="1" applyAlignment="1">
      <alignment horizontal="right" vertical="center" wrapText="1"/>
    </xf>
    <xf numFmtId="0" fontId="45" fillId="13" borderId="2" xfId="0" applyFont="1" applyFill="1" applyBorder="1" applyAlignment="1">
      <alignment horizontal="right" vertical="center" wrapText="1"/>
    </xf>
    <xf numFmtId="0" fontId="40" fillId="18" borderId="4" xfId="0" applyFont="1" applyFill="1" applyBorder="1" applyAlignment="1">
      <alignment horizontal="center" vertical="center" wrapText="1"/>
    </xf>
    <xf numFmtId="0" fontId="40" fillId="18" borderId="6" xfId="0" applyFont="1" applyFill="1" applyBorder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40" fillId="18" borderId="5" xfId="0" applyFont="1" applyFill="1" applyBorder="1" applyAlignment="1">
      <alignment horizontal="center" vertical="center" wrapText="1"/>
    </xf>
    <xf numFmtId="0" fontId="44" fillId="18" borderId="7" xfId="0" applyFont="1" applyFill="1" applyBorder="1" applyAlignment="1">
      <alignment horizontal="center" vertical="center" wrapText="1"/>
    </xf>
    <xf numFmtId="0" fontId="44" fillId="18" borderId="0" xfId="0" applyFont="1" applyFill="1" applyAlignment="1">
      <alignment horizontal="center" vertical="center" wrapText="1"/>
    </xf>
    <xf numFmtId="0" fontId="44" fillId="18" borderId="8" xfId="0" applyFont="1" applyFill="1" applyBorder="1" applyAlignment="1">
      <alignment horizontal="center" vertical="center" wrapText="1"/>
    </xf>
    <xf numFmtId="0" fontId="46" fillId="18" borderId="7" xfId="0" applyFont="1" applyFill="1" applyBorder="1" applyAlignment="1">
      <alignment horizontal="center" vertical="center" wrapText="1"/>
    </xf>
    <xf numFmtId="0" fontId="46" fillId="18" borderId="0" xfId="0" applyFont="1" applyFill="1" applyAlignment="1">
      <alignment horizontal="center" vertical="center" wrapText="1"/>
    </xf>
    <xf numFmtId="0" fontId="46" fillId="18" borderId="8" xfId="0" applyFont="1" applyFill="1" applyBorder="1" applyAlignment="1">
      <alignment horizontal="center" vertical="center" wrapText="1"/>
    </xf>
    <xf numFmtId="0" fontId="18" fillId="14" borderId="4" xfId="0" applyFont="1" applyFill="1" applyBorder="1" applyAlignment="1">
      <alignment horizontal="center" vertical="center" wrapText="1"/>
    </xf>
    <xf numFmtId="0" fontId="18" fillId="14" borderId="6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800A8"/>
      <color rgb="FFDAF8FE"/>
      <color rgb="FFC3FAFD"/>
      <color rgb="FF98EBFE"/>
      <color rgb="FF55008A"/>
      <color rgb="FF7200B8"/>
      <color rgb="FF7700C0"/>
      <color rgb="FFACFEB4"/>
      <color rgb="FFD9D9D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1188893</xdr:colOff>
      <xdr:row>8</xdr:row>
      <xdr:rowOff>411136</xdr:rowOff>
    </xdr:from>
    <xdr:to>
      <xdr:col>10</xdr:col>
      <xdr:colOff>716453</xdr:colOff>
      <xdr:row>12</xdr:row>
      <xdr:rowOff>209550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2242D080-CB51-440D-B463-202D13F603C1}"/>
            </a:ext>
          </a:extLst>
        </xdr:cNvPr>
        <xdr:cNvSpPr/>
      </xdr:nvSpPr>
      <xdr:spPr>
        <a:xfrm>
          <a:off x="14809643" y="3973486"/>
          <a:ext cx="870585" cy="1617689"/>
        </a:xfrm>
        <a:prstGeom prst="down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 editAs="oneCell">
    <xdr:from>
      <xdr:col>0</xdr:col>
      <xdr:colOff>733425</xdr:colOff>
      <xdr:row>4</xdr:row>
      <xdr:rowOff>9525</xdr:rowOff>
    </xdr:from>
    <xdr:to>
      <xdr:col>3</xdr:col>
      <xdr:colOff>786512</xdr:colOff>
      <xdr:row>7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9B9226-D04C-9FE8-1406-F4AC8A910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1514475"/>
          <a:ext cx="4034537" cy="1447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hotel-living.com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6F729-FE4D-418E-BBEC-1BB89B0E388F}">
  <sheetPr codeName="Sheet1"/>
  <dimension ref="A1:BY561"/>
  <sheetViews>
    <sheetView tabSelected="1" workbookViewId="0">
      <pane ySplit="1" topLeftCell="A2" activePane="bottomLeft" state="frozen"/>
      <selection pane="bottomLeft" activeCell="C23" sqref="C23"/>
    </sheetView>
  </sheetViews>
  <sheetFormatPr defaultColWidth="22.7109375" defaultRowHeight="15" x14ac:dyDescent="0.25"/>
  <cols>
    <col min="1" max="1" width="14.85546875" style="2" customWidth="1"/>
    <col min="2" max="2" width="27.140625" style="6" customWidth="1"/>
    <col min="3" max="3" width="17.7109375" style="6" customWidth="1"/>
    <col min="4" max="4" width="20.5703125" style="6" customWidth="1"/>
    <col min="5" max="5" width="26.7109375" style="6" customWidth="1"/>
    <col min="6" max="6" width="22" style="6" customWidth="1"/>
    <col min="7" max="7" width="25.7109375" style="2" customWidth="1"/>
    <col min="8" max="8" width="38.42578125" style="2" customWidth="1"/>
    <col min="9" max="9" width="11.140625" style="2" customWidth="1"/>
    <col min="10" max="10" width="20.140625" style="2" customWidth="1"/>
    <col min="11" max="11" width="29.28515625" style="2" customWidth="1"/>
    <col min="12" max="12" width="8" style="6" customWidth="1"/>
    <col min="13" max="13" width="16.42578125" style="6" customWidth="1"/>
    <col min="14" max="14" width="16.5703125" style="6" customWidth="1"/>
    <col min="15" max="15" width="1.7109375" style="1" customWidth="1"/>
    <col min="16" max="19" width="12" style="1" customWidth="1"/>
    <col min="20" max="20" width="13.85546875" style="1" customWidth="1"/>
    <col min="21" max="21" width="12.140625" style="1" customWidth="1"/>
    <col min="22" max="22" width="10.7109375" style="1" customWidth="1"/>
    <col min="23" max="23" width="10.28515625" style="1" customWidth="1"/>
    <col min="24" max="77" width="22.7109375" style="1"/>
    <col min="78" max="16384" width="22.7109375" style="6"/>
  </cols>
  <sheetData>
    <row r="1" spans="1:77" s="1" customFormat="1" ht="12.75" customHeight="1" x14ac:dyDescent="0.25"/>
    <row r="2" spans="1:77" s="2" customFormat="1" ht="43.9" customHeight="1" thickBot="1" x14ac:dyDescent="0.3">
      <c r="A2" s="1"/>
      <c r="B2" s="1"/>
      <c r="C2" s="1"/>
      <c r="D2" s="1"/>
      <c r="E2" s="135" t="s">
        <v>57</v>
      </c>
      <c r="F2" s="136"/>
      <c r="G2" s="136"/>
      <c r="H2" s="137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</row>
    <row r="3" spans="1:77" s="2" customFormat="1" ht="26.25" customHeight="1" thickTop="1" x14ac:dyDescent="0.25">
      <c r="A3" s="1"/>
      <c r="B3" s="1"/>
      <c r="C3" s="1"/>
      <c r="D3" s="1"/>
      <c r="E3" s="149" t="s">
        <v>75</v>
      </c>
      <c r="F3" s="150"/>
      <c r="G3" s="150"/>
      <c r="H3" s="15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 s="2" customFormat="1" ht="36" customHeight="1" thickBot="1" x14ac:dyDescent="0.3">
      <c r="A4" s="1"/>
      <c r="B4" s="1"/>
      <c r="C4" s="1"/>
      <c r="D4" s="1"/>
      <c r="E4" s="138" t="s">
        <v>19</v>
      </c>
      <c r="F4" s="139"/>
      <c r="G4" s="139"/>
      <c r="H4" s="140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  <row r="5" spans="1:77" s="2" customFormat="1" ht="43.9" customHeight="1" thickTop="1" x14ac:dyDescent="0.25">
      <c r="A5" s="1"/>
      <c r="B5" s="1"/>
      <c r="C5" s="1"/>
      <c r="D5" s="1"/>
      <c r="E5" s="141" t="s">
        <v>24</v>
      </c>
      <c r="F5" s="142"/>
      <c r="G5" s="142"/>
      <c r="H5" s="3">
        <v>10</v>
      </c>
      <c r="I5" s="1"/>
      <c r="J5" s="155" t="s">
        <v>40</v>
      </c>
      <c r="K5" s="156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</row>
    <row r="6" spans="1:77" s="2" customFormat="1" ht="42" customHeight="1" x14ac:dyDescent="0.5">
      <c r="A6" s="1"/>
      <c r="B6" s="1"/>
      <c r="C6" s="1"/>
      <c r="D6" s="1"/>
      <c r="E6" s="143" t="s">
        <v>64</v>
      </c>
      <c r="F6" s="144"/>
      <c r="G6" s="144"/>
      <c r="H6" s="145"/>
      <c r="I6" s="1"/>
      <c r="J6" s="157"/>
      <c r="K6" s="158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</row>
    <row r="7" spans="1:77" s="2" customFormat="1" ht="27.6" customHeight="1" x14ac:dyDescent="0.25">
      <c r="A7" s="1"/>
      <c r="B7" s="1"/>
      <c r="C7" s="1"/>
      <c r="D7" s="1"/>
      <c r="E7" s="146" t="s">
        <v>17</v>
      </c>
      <c r="F7" s="147"/>
      <c r="G7" s="147" t="s">
        <v>18</v>
      </c>
      <c r="H7" s="148"/>
      <c r="I7" s="1"/>
      <c r="J7" s="157"/>
      <c r="K7" s="158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</row>
    <row r="8" spans="1:77" s="2" customFormat="1" ht="49.5" customHeight="1" x14ac:dyDescent="0.25">
      <c r="A8" s="164" t="s">
        <v>58</v>
      </c>
      <c r="B8" s="164"/>
      <c r="C8" s="164"/>
      <c r="D8" s="165"/>
      <c r="E8" s="166">
        <f>G8*11.4</f>
        <v>138380.50170000002</v>
      </c>
      <c r="F8" s="167"/>
      <c r="G8" s="168">
        <f>SUM(E13:H13)/4</f>
        <v>12138.640500000001</v>
      </c>
      <c r="H8" s="168"/>
      <c r="I8" s="1"/>
      <c r="J8" s="157"/>
      <c r="K8" s="15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</row>
    <row r="9" spans="1:77" s="5" customFormat="1" ht="35.25" customHeight="1" thickBot="1" x14ac:dyDescent="0.3">
      <c r="A9" s="164"/>
      <c r="B9" s="164"/>
      <c r="C9" s="164"/>
      <c r="D9" s="165"/>
      <c r="E9" s="161" t="s">
        <v>61</v>
      </c>
      <c r="F9" s="162"/>
      <c r="G9" s="162"/>
      <c r="H9" s="163"/>
      <c r="I9" s="1"/>
      <c r="J9" s="159"/>
      <c r="K9" s="160"/>
      <c r="L9" s="1"/>
      <c r="M9" s="4"/>
      <c r="N9" s="4"/>
      <c r="O9" s="4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</row>
    <row r="10" spans="1:77" s="2" customFormat="1" ht="37.35" customHeight="1" thickTop="1" x14ac:dyDescent="0.25">
      <c r="A10" s="1"/>
      <c r="B10" s="1"/>
      <c r="C10" s="1"/>
      <c r="D10" s="4"/>
      <c r="E10" s="69">
        <f>J37</f>
        <v>995.52</v>
      </c>
      <c r="F10" s="70" t="s">
        <v>5</v>
      </c>
      <c r="G10" s="71">
        <f>K37</f>
        <v>1297.44</v>
      </c>
      <c r="H10" s="72" t="s">
        <v>20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</row>
    <row r="11" spans="1:77" s="30" customFormat="1" ht="38.25" customHeight="1" x14ac:dyDescent="0.5">
      <c r="A11" s="29"/>
      <c r="B11" s="66" t="s">
        <v>0</v>
      </c>
      <c r="C11" s="29"/>
      <c r="D11" s="29"/>
      <c r="E11" s="152" t="s">
        <v>62</v>
      </c>
      <c r="F11" s="153"/>
      <c r="G11" s="153"/>
      <c r="H11" s="154"/>
      <c r="I11" s="29"/>
      <c r="J11" s="29"/>
      <c r="K11" s="29"/>
      <c r="L11" s="29"/>
      <c r="M11" s="29"/>
      <c r="N11" s="29"/>
      <c r="O11" s="29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</row>
    <row r="12" spans="1:77" s="1" customFormat="1" ht="33" customHeight="1" x14ac:dyDescent="0.25">
      <c r="E12" s="73" t="s">
        <v>1</v>
      </c>
      <c r="F12" s="74" t="s">
        <v>2</v>
      </c>
      <c r="G12" s="74" t="s">
        <v>3</v>
      </c>
      <c r="H12" s="75" t="s">
        <v>4</v>
      </c>
    </row>
    <row r="13" spans="1:77" s="1" customFormat="1" ht="33" customHeight="1" thickBot="1" x14ac:dyDescent="0.3">
      <c r="E13" s="76">
        <f>((((($H$5/2)*K34)+(($H$5*J34)))*4))-F42</f>
        <v>13584</v>
      </c>
      <c r="F13" s="77">
        <f>(((($H$5/2)*K35)+(($H$5*J35)))*2)-F42</f>
        <v>12616.800000000003</v>
      </c>
      <c r="G13" s="77">
        <f>(((($H$5/2)*K36)+(($H$5*J36)))*1.335)-F42</f>
        <v>11671.362000000001</v>
      </c>
      <c r="H13" s="78">
        <f>(((($H$5/2)*K37)+(($H$5*J37))))-F42</f>
        <v>10682.400000000001</v>
      </c>
    </row>
    <row r="14" spans="1:77" s="1" customFormat="1" ht="18.399999999999999" customHeight="1" thickTop="1" x14ac:dyDescent="0.25"/>
    <row r="15" spans="1:77" s="2" customFormat="1" ht="40.5" customHeight="1" x14ac:dyDescent="0.25">
      <c r="A15" s="1"/>
      <c r="B15" s="65"/>
      <c r="C15" s="169" t="s">
        <v>65</v>
      </c>
      <c r="D15" s="170"/>
      <c r="E15" s="170"/>
      <c r="F15" s="170"/>
      <c r="G15" s="170"/>
      <c r="H15" s="170"/>
      <c r="I15" s="170"/>
      <c r="J15" s="170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</row>
    <row r="16" spans="1:77" s="2" customFormat="1" ht="35.25" customHeight="1" x14ac:dyDescent="0.25">
      <c r="A16" s="1"/>
      <c r="B16" s="65"/>
      <c r="C16" s="170" t="s">
        <v>66</v>
      </c>
      <c r="D16" s="170"/>
      <c r="E16" s="170"/>
      <c r="F16" s="170"/>
      <c r="G16" s="170"/>
      <c r="H16" s="170"/>
      <c r="I16" s="170"/>
      <c r="J16" s="170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</row>
    <row r="17" spans="1:77" s="2" customFormat="1" ht="72.75" customHeight="1" x14ac:dyDescent="0.25">
      <c r="A17" s="1"/>
      <c r="B17" s="65"/>
      <c r="C17" s="128" t="s">
        <v>67</v>
      </c>
      <c r="D17" s="128"/>
      <c r="E17" s="128"/>
      <c r="F17" s="128"/>
      <c r="G17" s="128"/>
      <c r="H17" s="128"/>
      <c r="I17" s="128"/>
      <c r="J17" s="12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</row>
    <row r="18" spans="1:77" s="2" customFormat="1" ht="37.5" customHeight="1" thickBot="1" x14ac:dyDescent="0.3">
      <c r="A18" s="1"/>
      <c r="B18" s="1"/>
      <c r="C18" s="1"/>
      <c r="D18" s="52" t="s">
        <v>5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</row>
    <row r="19" spans="1:77" s="1" customFormat="1" ht="54.4" customHeight="1" thickTop="1" x14ac:dyDescent="0.25">
      <c r="B19" s="176">
        <v>1</v>
      </c>
      <c r="C19" s="177"/>
      <c r="D19" s="59" t="s">
        <v>47</v>
      </c>
      <c r="E19" s="176">
        <v>2</v>
      </c>
      <c r="F19" s="177"/>
      <c r="G19" s="57" t="s">
        <v>63</v>
      </c>
      <c r="H19" s="176">
        <v>3</v>
      </c>
      <c r="I19" s="179"/>
      <c r="J19" s="179"/>
      <c r="K19" s="177"/>
    </row>
    <row r="20" spans="1:77" ht="27.6" customHeight="1" x14ac:dyDescent="0.25">
      <c r="A20" s="1"/>
      <c r="B20" s="83" t="s">
        <v>25</v>
      </c>
      <c r="C20" s="84"/>
      <c r="D20" s="57">
        <f>I27</f>
        <v>244</v>
      </c>
      <c r="E20" s="85" t="s">
        <v>31</v>
      </c>
      <c r="F20" s="86"/>
      <c r="G20" s="57">
        <f>K27</f>
        <v>318</v>
      </c>
      <c r="H20" s="180" t="s">
        <v>37</v>
      </c>
      <c r="I20" s="181"/>
      <c r="J20" s="181"/>
      <c r="K20" s="182"/>
      <c r="L20" s="1"/>
      <c r="M20" s="1"/>
      <c r="N20" s="1"/>
    </row>
    <row r="21" spans="1:77" ht="27.6" customHeight="1" x14ac:dyDescent="0.25">
      <c r="A21" s="1"/>
      <c r="B21" s="89" t="s">
        <v>42</v>
      </c>
      <c r="C21" s="90"/>
      <c r="D21" s="58" t="s">
        <v>48</v>
      </c>
      <c r="E21" s="93" t="s">
        <v>68</v>
      </c>
      <c r="F21" s="94"/>
      <c r="G21" s="58" t="s">
        <v>48</v>
      </c>
      <c r="H21" s="183" t="s">
        <v>43</v>
      </c>
      <c r="I21" s="184"/>
      <c r="J21" s="184"/>
      <c r="K21" s="185"/>
      <c r="L21" s="1"/>
      <c r="M21" s="1"/>
      <c r="N21" s="1"/>
    </row>
    <row r="22" spans="1:77" ht="34.15" customHeight="1" x14ac:dyDescent="0.25">
      <c r="A22" s="1"/>
      <c r="B22" s="91"/>
      <c r="C22" s="92"/>
      <c r="D22" s="57">
        <v>0</v>
      </c>
      <c r="E22" s="93"/>
      <c r="F22" s="94"/>
      <c r="G22" s="57">
        <v>0</v>
      </c>
      <c r="H22" s="183"/>
      <c r="I22" s="184"/>
      <c r="J22" s="184"/>
      <c r="K22" s="185"/>
      <c r="L22" s="1"/>
      <c r="M22" s="1"/>
      <c r="N22" s="1"/>
    </row>
    <row r="23" spans="1:77" ht="27.6" customHeight="1" x14ac:dyDescent="0.25">
      <c r="A23" s="1"/>
      <c r="B23" s="14" t="s">
        <v>32</v>
      </c>
      <c r="C23" s="31">
        <v>4.5</v>
      </c>
      <c r="D23" s="57" t="s">
        <v>49</v>
      </c>
      <c r="E23" s="87" t="s">
        <v>56</v>
      </c>
      <c r="F23" s="88"/>
      <c r="G23" s="57" t="s">
        <v>49</v>
      </c>
      <c r="H23" s="9"/>
      <c r="I23" s="178" t="s">
        <v>5</v>
      </c>
      <c r="J23" s="178"/>
      <c r="K23" s="12" t="s">
        <v>20</v>
      </c>
      <c r="L23" s="1"/>
      <c r="M23" s="1"/>
      <c r="N23" s="1"/>
    </row>
    <row r="24" spans="1:77" ht="32.1" customHeight="1" x14ac:dyDescent="0.25">
      <c r="A24" s="1"/>
      <c r="B24" s="15" t="s">
        <v>33</v>
      </c>
      <c r="C24" s="31">
        <v>4.5</v>
      </c>
      <c r="D24" s="57">
        <f>D20-D22</f>
        <v>244</v>
      </c>
      <c r="E24" s="19" t="s">
        <v>27</v>
      </c>
      <c r="F24" s="32">
        <v>0</v>
      </c>
      <c r="G24" s="57">
        <f>G20-G22</f>
        <v>318</v>
      </c>
      <c r="H24" s="34" t="s">
        <v>6</v>
      </c>
      <c r="I24" s="115">
        <v>148</v>
      </c>
      <c r="J24" s="115"/>
      <c r="K24" s="33">
        <v>222</v>
      </c>
      <c r="L24" s="1"/>
      <c r="M24" s="1"/>
      <c r="N24" s="1"/>
    </row>
    <row r="25" spans="1:77" ht="27.6" customHeight="1" x14ac:dyDescent="0.25">
      <c r="A25" s="1"/>
      <c r="B25" s="16" t="s">
        <v>34</v>
      </c>
      <c r="C25" s="31">
        <v>3</v>
      </c>
      <c r="D25" s="57" t="s">
        <v>50</v>
      </c>
      <c r="E25" s="19" t="s">
        <v>28</v>
      </c>
      <c r="F25" s="32">
        <v>0</v>
      </c>
      <c r="G25" s="57" t="s">
        <v>50</v>
      </c>
      <c r="H25" s="41" t="s">
        <v>44</v>
      </c>
      <c r="I25" s="116">
        <f>I24+(C23*8)</f>
        <v>184</v>
      </c>
      <c r="J25" s="116"/>
      <c r="K25" s="20">
        <f>K24+((C23*8))</f>
        <v>258</v>
      </c>
      <c r="L25" s="1"/>
      <c r="M25" s="1"/>
      <c r="N25" s="1"/>
      <c r="O25" s="7"/>
    </row>
    <row r="26" spans="1:77" ht="27.6" customHeight="1" x14ac:dyDescent="0.25">
      <c r="A26" s="1"/>
      <c r="B26" s="17" t="s">
        <v>16</v>
      </c>
      <c r="C26" s="13">
        <f>SUM(C23:C25)</f>
        <v>12</v>
      </c>
      <c r="D26" s="57">
        <f>D24*K29</f>
        <v>24.400000000000002</v>
      </c>
      <c r="E26" s="19" t="s">
        <v>29</v>
      </c>
      <c r="F26" s="32">
        <v>0</v>
      </c>
      <c r="G26" s="57">
        <f>G24*K29</f>
        <v>31.8</v>
      </c>
      <c r="H26" s="41" t="s">
        <v>45</v>
      </c>
      <c r="I26" s="116">
        <f>I25+(C24*8)</f>
        <v>220</v>
      </c>
      <c r="J26" s="116"/>
      <c r="K26" s="20">
        <f>K25+(C24*8)</f>
        <v>294</v>
      </c>
      <c r="L26" s="1"/>
      <c r="M26" s="1"/>
      <c r="N26" s="1"/>
    </row>
    <row r="27" spans="1:77" ht="32.25" customHeight="1" x14ac:dyDescent="0.25">
      <c r="A27" s="1"/>
      <c r="B27" s="18" t="s">
        <v>35</v>
      </c>
      <c r="C27" s="49">
        <v>0.4</v>
      </c>
      <c r="D27" s="57" t="s">
        <v>51</v>
      </c>
      <c r="E27" s="47" t="s">
        <v>7</v>
      </c>
      <c r="F27" s="32">
        <v>0</v>
      </c>
      <c r="G27" s="57" t="s">
        <v>51</v>
      </c>
      <c r="H27" s="42" t="s">
        <v>46</v>
      </c>
      <c r="I27" s="117">
        <f>I26+(C25*8)</f>
        <v>244</v>
      </c>
      <c r="J27" s="117"/>
      <c r="K27" s="43">
        <f>K26+(C25*8)</f>
        <v>318</v>
      </c>
      <c r="L27" s="1"/>
      <c r="M27" s="1"/>
      <c r="N27" s="1"/>
    </row>
    <row r="28" spans="1:77" ht="33.4" customHeight="1" thickBot="1" x14ac:dyDescent="0.3">
      <c r="A28" s="1"/>
      <c r="B28" s="48" t="s">
        <v>36</v>
      </c>
      <c r="C28" s="23">
        <f>(C26*(H5*1.5))*32</f>
        <v>5760</v>
      </c>
      <c r="D28" s="57">
        <f>D24+D26</f>
        <v>268.39999999999998</v>
      </c>
      <c r="E28" s="19" t="s">
        <v>8</v>
      </c>
      <c r="F28" s="32">
        <v>0</v>
      </c>
      <c r="G28" s="57">
        <f>G24+G26</f>
        <v>349.8</v>
      </c>
      <c r="H28" s="172" t="s">
        <v>41</v>
      </c>
      <c r="I28" s="173"/>
      <c r="J28" s="173"/>
      <c r="K28" s="40">
        <v>0.05</v>
      </c>
      <c r="L28" s="1"/>
      <c r="M28" s="1"/>
      <c r="N28" s="1"/>
    </row>
    <row r="29" spans="1:77" ht="34.700000000000003" customHeight="1" thickTop="1" thickBot="1" x14ac:dyDescent="0.3">
      <c r="A29" s="1"/>
      <c r="B29" s="8"/>
      <c r="C29" s="8" t="s">
        <v>0</v>
      </c>
      <c r="D29" s="57" t="s">
        <v>53</v>
      </c>
      <c r="E29" s="19" t="s">
        <v>30</v>
      </c>
      <c r="F29" s="32">
        <v>0</v>
      </c>
      <c r="G29" s="53" t="s">
        <v>53</v>
      </c>
      <c r="H29" s="174" t="s">
        <v>38</v>
      </c>
      <c r="I29" s="175"/>
      <c r="J29" s="175"/>
      <c r="K29" s="44">
        <v>0.1</v>
      </c>
      <c r="L29" s="1"/>
      <c r="M29" s="1"/>
      <c r="N29" s="1"/>
    </row>
    <row r="30" spans="1:77" ht="32.1" customHeight="1" thickTop="1" thickBot="1" x14ac:dyDescent="0.3">
      <c r="A30" s="1"/>
      <c r="B30" s="186" t="s">
        <v>60</v>
      </c>
      <c r="C30" s="187"/>
      <c r="D30" s="57">
        <f>D28+(D24*0.1)</f>
        <v>292.79999999999995</v>
      </c>
      <c r="E30" s="45" t="s">
        <v>21</v>
      </c>
      <c r="F30" s="32">
        <v>0</v>
      </c>
      <c r="G30" s="53">
        <f>G28+(G24*0.1)</f>
        <v>381.6</v>
      </c>
      <c r="H30" s="10"/>
      <c r="I30" s="10"/>
      <c r="J30" s="10"/>
      <c r="K30" s="10"/>
      <c r="L30" s="1"/>
      <c r="M30" s="1"/>
      <c r="N30" s="1"/>
    </row>
    <row r="31" spans="1:77" ht="32.1" customHeight="1" thickTop="1" thickBot="1" x14ac:dyDescent="0.3">
      <c r="A31" s="1"/>
      <c r="B31" s="95" t="s">
        <v>73</v>
      </c>
      <c r="C31" s="96"/>
      <c r="D31" s="57"/>
      <c r="E31" s="45" t="s">
        <v>22</v>
      </c>
      <c r="F31" s="32">
        <v>0</v>
      </c>
      <c r="G31" s="53"/>
      <c r="H31" s="124" t="s">
        <v>39</v>
      </c>
      <c r="I31" s="125"/>
      <c r="J31" s="125"/>
      <c r="K31" s="126"/>
      <c r="L31" s="1"/>
      <c r="M31" s="1"/>
      <c r="N31" s="1"/>
    </row>
    <row r="32" spans="1:77" ht="32.1" customHeight="1" thickTop="1" x14ac:dyDescent="0.25">
      <c r="A32" s="1"/>
      <c r="B32" s="97"/>
      <c r="C32" s="98"/>
      <c r="D32" s="57" t="s">
        <v>52</v>
      </c>
      <c r="E32" s="87" t="s">
        <v>9</v>
      </c>
      <c r="F32" s="88"/>
      <c r="G32" s="53" t="s">
        <v>52</v>
      </c>
      <c r="H32" s="155" t="s">
        <v>69</v>
      </c>
      <c r="I32" s="171"/>
      <c r="J32" s="171"/>
      <c r="K32" s="156"/>
      <c r="L32" s="1"/>
      <c r="M32" s="1"/>
      <c r="N32" s="1"/>
    </row>
    <row r="33" spans="1:15" ht="32.1" customHeight="1" x14ac:dyDescent="0.25">
      <c r="A33" s="1"/>
      <c r="B33" s="97" t="s">
        <v>72</v>
      </c>
      <c r="C33" s="99"/>
      <c r="D33" s="57">
        <f>I27*2</f>
        <v>488</v>
      </c>
      <c r="E33" s="19" t="s">
        <v>10</v>
      </c>
      <c r="F33" s="32">
        <v>0</v>
      </c>
      <c r="G33" s="53">
        <f>K27*2</f>
        <v>636</v>
      </c>
      <c r="H33" s="127" t="s">
        <v>71</v>
      </c>
      <c r="I33" s="128"/>
      <c r="J33" s="67" t="s">
        <v>5</v>
      </c>
      <c r="K33" s="68" t="s">
        <v>20</v>
      </c>
      <c r="L33" s="1"/>
      <c r="M33" s="1"/>
      <c r="N33" s="1"/>
    </row>
    <row r="34" spans="1:15" ht="36" customHeight="1" x14ac:dyDescent="0.25">
      <c r="A34" s="1"/>
      <c r="B34" s="100"/>
      <c r="C34" s="99"/>
      <c r="D34" s="58" t="s">
        <v>48</v>
      </c>
      <c r="E34" s="19" t="s">
        <v>11</v>
      </c>
      <c r="F34" s="32">
        <v>0</v>
      </c>
      <c r="G34" s="54" t="s">
        <v>48</v>
      </c>
      <c r="H34" s="129">
        <v>8</v>
      </c>
      <c r="I34" s="130"/>
      <c r="J34" s="36">
        <f>D30</f>
        <v>292.79999999999995</v>
      </c>
      <c r="K34" s="11">
        <f>G30</f>
        <v>381.6</v>
      </c>
      <c r="L34" s="1"/>
      <c r="M34" s="1"/>
      <c r="N34" s="1"/>
    </row>
    <row r="35" spans="1:15" ht="36" customHeight="1" x14ac:dyDescent="0.25">
      <c r="A35" s="1"/>
      <c r="B35" s="101" t="s">
        <v>74</v>
      </c>
      <c r="C35" s="102"/>
      <c r="D35" s="57">
        <f>D33*K28</f>
        <v>24.400000000000002</v>
      </c>
      <c r="E35" s="19" t="s">
        <v>12</v>
      </c>
      <c r="F35" s="32">
        <v>0</v>
      </c>
      <c r="G35" s="53">
        <f>G33*K28</f>
        <v>31.8</v>
      </c>
      <c r="H35" s="131">
        <v>16</v>
      </c>
      <c r="I35" s="132"/>
      <c r="J35" s="37">
        <f>D43</f>
        <v>556.32000000000005</v>
      </c>
      <c r="K35" s="21">
        <f>G43</f>
        <v>725.04</v>
      </c>
      <c r="L35" s="1"/>
      <c r="M35" s="1"/>
      <c r="N35" s="1"/>
    </row>
    <row r="36" spans="1:15" ht="36" customHeight="1" x14ac:dyDescent="0.25">
      <c r="A36" s="1"/>
      <c r="B36" s="101"/>
      <c r="C36" s="102"/>
      <c r="D36" s="60" t="s">
        <v>49</v>
      </c>
      <c r="E36" s="19" t="s">
        <v>13</v>
      </c>
      <c r="F36" s="32">
        <v>0</v>
      </c>
      <c r="G36" s="53" t="s">
        <v>49</v>
      </c>
      <c r="H36" s="129">
        <v>24</v>
      </c>
      <c r="I36" s="130"/>
      <c r="J36" s="38">
        <f>D58</f>
        <v>790.56</v>
      </c>
      <c r="K36" s="27">
        <f>G58</f>
        <v>1030.3200000000002</v>
      </c>
      <c r="L36" s="1"/>
      <c r="M36" s="1"/>
      <c r="N36" s="1"/>
    </row>
    <row r="37" spans="1:15" ht="36" customHeight="1" thickBot="1" x14ac:dyDescent="0.3">
      <c r="A37" s="1"/>
      <c r="B37" s="103"/>
      <c r="C37" s="104"/>
      <c r="D37" s="57">
        <f>D33-D35</f>
        <v>463.6</v>
      </c>
      <c r="E37" s="19" t="s">
        <v>14</v>
      </c>
      <c r="F37" s="32">
        <v>0</v>
      </c>
      <c r="G37" s="53">
        <f>G33-G35</f>
        <v>604.20000000000005</v>
      </c>
      <c r="H37" s="133">
        <v>32</v>
      </c>
      <c r="I37" s="134"/>
      <c r="J37" s="39">
        <f>D71</f>
        <v>995.52</v>
      </c>
      <c r="K37" s="35">
        <f>G71</f>
        <v>1297.44</v>
      </c>
      <c r="L37" s="1"/>
      <c r="M37" s="1"/>
      <c r="N37" s="1"/>
    </row>
    <row r="38" spans="1:15" s="1" customFormat="1" ht="38.25" customHeight="1" thickTop="1" thickBot="1" x14ac:dyDescent="0.3">
      <c r="D38" s="57" t="s">
        <v>50</v>
      </c>
      <c r="E38" s="19" t="s">
        <v>59</v>
      </c>
      <c r="F38" s="32">
        <v>0</v>
      </c>
      <c r="G38" s="53" t="s">
        <v>50</v>
      </c>
    </row>
    <row r="39" spans="1:15" s="1" customFormat="1" ht="38.1" customHeight="1" x14ac:dyDescent="0.25">
      <c r="C39" s="64"/>
      <c r="D39" s="57">
        <f>D37*K29</f>
        <v>46.360000000000007</v>
      </c>
      <c r="E39" s="45" t="s">
        <v>21</v>
      </c>
      <c r="F39" s="32">
        <v>0</v>
      </c>
      <c r="G39" s="53">
        <f>G37*K29</f>
        <v>60.420000000000009</v>
      </c>
      <c r="H39" s="118" t="s">
        <v>26</v>
      </c>
      <c r="I39" s="119"/>
      <c r="J39" s="119"/>
      <c r="K39" s="120"/>
    </row>
    <row r="40" spans="1:15" s="1" customFormat="1" ht="25.5" customHeight="1" x14ac:dyDescent="0.25">
      <c r="D40" s="57" t="s">
        <v>51</v>
      </c>
      <c r="E40" s="45" t="s">
        <v>22</v>
      </c>
      <c r="F40" s="32">
        <v>0</v>
      </c>
      <c r="G40" s="53" t="s">
        <v>51</v>
      </c>
      <c r="H40" s="121" t="s">
        <v>70</v>
      </c>
      <c r="I40" s="122"/>
      <c r="J40" s="122"/>
      <c r="K40" s="123"/>
    </row>
    <row r="41" spans="1:15" s="1" customFormat="1" ht="26.25" customHeight="1" x14ac:dyDescent="0.25">
      <c r="D41" s="57">
        <f>D37+D39</f>
        <v>509.96000000000004</v>
      </c>
      <c r="E41" s="19" t="s">
        <v>23</v>
      </c>
      <c r="F41" s="46">
        <f>C28</f>
        <v>5760</v>
      </c>
      <c r="G41" s="53">
        <f>G37+G39</f>
        <v>664.62</v>
      </c>
      <c r="H41" s="24" t="s">
        <v>17</v>
      </c>
      <c r="I41" s="22"/>
      <c r="J41" s="109" t="s">
        <v>18</v>
      </c>
      <c r="K41" s="110"/>
    </row>
    <row r="42" spans="1:15" s="1" customFormat="1" ht="26.25" customHeight="1" x14ac:dyDescent="0.25">
      <c r="D42" s="57" t="s">
        <v>53</v>
      </c>
      <c r="E42" s="79" t="s">
        <v>15</v>
      </c>
      <c r="F42" s="81">
        <f>SUM(F33:F41)+F24+F25+F26+F27+F28+F29+F30+F31</f>
        <v>5760</v>
      </c>
      <c r="G42" s="53" t="s">
        <v>53</v>
      </c>
      <c r="H42" s="105">
        <f>E8</f>
        <v>138380.50170000002</v>
      </c>
      <c r="I42" s="107"/>
      <c r="J42" s="111">
        <f>G8</f>
        <v>12138.640500000001</v>
      </c>
      <c r="K42" s="112"/>
    </row>
    <row r="43" spans="1:15" s="1" customFormat="1" ht="14.45" customHeight="1" thickBot="1" x14ac:dyDescent="0.3">
      <c r="D43" s="57">
        <f>D41+(D37*0.1)</f>
        <v>556.32000000000005</v>
      </c>
      <c r="E43" s="80"/>
      <c r="F43" s="82"/>
      <c r="G43" s="53">
        <f>G41+(G37*0.1)</f>
        <v>725.04</v>
      </c>
      <c r="H43" s="106"/>
      <c r="I43" s="108"/>
      <c r="J43" s="113"/>
      <c r="K43" s="114"/>
      <c r="L43" s="8"/>
      <c r="M43" s="8"/>
      <c r="N43" s="8"/>
      <c r="O43" s="8"/>
    </row>
    <row r="44" spans="1:15" s="1" customFormat="1" ht="26.25" customHeight="1" x14ac:dyDescent="0.25">
      <c r="B44" s="8"/>
      <c r="C44" s="8"/>
      <c r="D44" s="56"/>
      <c r="E44" s="8"/>
      <c r="F44" s="8"/>
      <c r="G44" s="51"/>
      <c r="H44" s="10"/>
      <c r="I44" s="10"/>
      <c r="J44" s="10"/>
      <c r="K44" s="10"/>
      <c r="L44" s="8"/>
      <c r="M44" s="8"/>
      <c r="N44" s="8"/>
      <c r="O44" s="8"/>
    </row>
    <row r="45" spans="1:15" s="1" customFormat="1" ht="26.25" customHeight="1" x14ac:dyDescent="0.25">
      <c r="B45" s="25"/>
      <c r="C45" s="25"/>
      <c r="D45" s="25"/>
      <c r="E45" s="25"/>
      <c r="F45" s="25"/>
      <c r="G45" s="25"/>
      <c r="H45" s="26"/>
      <c r="I45" s="26"/>
      <c r="J45" s="26"/>
      <c r="K45" s="26"/>
      <c r="L45" s="8"/>
      <c r="M45" s="8"/>
      <c r="N45" s="8"/>
      <c r="O45" s="8"/>
    </row>
    <row r="46" spans="1:15" s="1" customFormat="1" ht="26.25" customHeight="1" x14ac:dyDescent="0.25">
      <c r="B46" s="8"/>
      <c r="C46" s="8"/>
      <c r="D46" s="56"/>
      <c r="E46" s="50"/>
      <c r="F46" s="50"/>
      <c r="G46" s="56"/>
      <c r="H46" s="8"/>
      <c r="I46" s="8"/>
      <c r="J46" s="8"/>
      <c r="K46" s="8"/>
      <c r="L46" s="8"/>
      <c r="M46" s="8"/>
      <c r="N46" s="8"/>
      <c r="O46" s="8"/>
    </row>
    <row r="47" spans="1:15" s="1" customFormat="1" ht="26.25" customHeight="1" x14ac:dyDescent="0.25">
      <c r="D47" s="57" t="s">
        <v>54</v>
      </c>
      <c r="E47" s="55"/>
      <c r="F47" s="55"/>
      <c r="G47" s="57" t="s">
        <v>54</v>
      </c>
      <c r="H47" s="8"/>
      <c r="I47" s="8"/>
      <c r="J47" s="8"/>
      <c r="K47" s="8"/>
      <c r="L47" s="8"/>
      <c r="M47" s="8"/>
      <c r="N47" s="8"/>
      <c r="O47" s="8"/>
    </row>
    <row r="48" spans="1:15" ht="26.25" customHeight="1" x14ac:dyDescent="0.25">
      <c r="A48" s="1"/>
      <c r="B48" s="8"/>
      <c r="C48" s="8"/>
      <c r="D48" s="57">
        <f>I27*3</f>
        <v>732</v>
      </c>
      <c r="E48" s="55"/>
      <c r="F48" s="55"/>
      <c r="G48" s="57">
        <f>K27*3</f>
        <v>954</v>
      </c>
      <c r="H48" s="8"/>
      <c r="I48" s="8"/>
      <c r="J48" s="8"/>
      <c r="K48" s="8"/>
      <c r="L48" s="8"/>
      <c r="M48" s="8"/>
      <c r="N48" s="8"/>
      <c r="O48" s="8"/>
    </row>
    <row r="49" spans="1:15" ht="26.25" customHeight="1" x14ac:dyDescent="0.25">
      <c r="A49" s="1"/>
      <c r="B49" s="8"/>
      <c r="C49" s="8"/>
      <c r="D49" s="57" t="s">
        <v>48</v>
      </c>
      <c r="E49" s="55"/>
      <c r="F49" s="55"/>
      <c r="G49" s="57" t="s">
        <v>48</v>
      </c>
      <c r="H49" s="8"/>
      <c r="I49" s="8"/>
      <c r="J49" s="8"/>
      <c r="K49" s="8"/>
      <c r="L49" s="8"/>
      <c r="M49" s="8"/>
      <c r="N49" s="8"/>
      <c r="O49" s="8"/>
    </row>
    <row r="50" spans="1:15" ht="26.25" customHeight="1" x14ac:dyDescent="0.25">
      <c r="A50" s="1"/>
      <c r="B50" s="8"/>
      <c r="C50" s="8"/>
      <c r="D50" s="57">
        <f>D48*(K28*2)</f>
        <v>73.2</v>
      </c>
      <c r="E50" s="55"/>
      <c r="F50" s="55"/>
      <c r="G50" s="57">
        <f>G48*(K28*2)</f>
        <v>95.4</v>
      </c>
      <c r="H50" s="8"/>
      <c r="I50" s="8"/>
      <c r="J50" s="8"/>
      <c r="K50" s="8"/>
      <c r="L50" s="8"/>
      <c r="M50" s="8"/>
      <c r="N50" s="8"/>
      <c r="O50" s="8"/>
    </row>
    <row r="51" spans="1:15" ht="26.25" customHeight="1" x14ac:dyDescent="0.25">
      <c r="A51" s="1"/>
      <c r="B51" s="8"/>
      <c r="C51" s="8"/>
      <c r="D51" s="57" t="s">
        <v>49</v>
      </c>
      <c r="E51" s="55"/>
      <c r="F51" s="55"/>
      <c r="G51" s="57" t="s">
        <v>49</v>
      </c>
      <c r="H51" s="8"/>
      <c r="I51" s="8"/>
      <c r="J51" s="8"/>
      <c r="K51" s="8"/>
      <c r="L51" s="8"/>
      <c r="M51" s="8"/>
      <c r="N51" s="8"/>
      <c r="O51" s="8"/>
    </row>
    <row r="52" spans="1:15" ht="26.25" customHeight="1" x14ac:dyDescent="0.25">
      <c r="A52" s="1"/>
      <c r="B52" s="8"/>
      <c r="C52" s="8"/>
      <c r="D52" s="57">
        <f>D48-D50</f>
        <v>658.8</v>
      </c>
      <c r="E52" s="55"/>
      <c r="F52" s="55"/>
      <c r="G52" s="57">
        <f>G48-G50</f>
        <v>858.6</v>
      </c>
      <c r="H52" s="8"/>
      <c r="I52" s="8"/>
      <c r="J52" s="8"/>
      <c r="K52" s="8"/>
      <c r="L52" s="8"/>
      <c r="M52" s="8"/>
      <c r="N52" s="8"/>
      <c r="O52" s="8"/>
    </row>
    <row r="53" spans="1:15" ht="26.25" customHeight="1" x14ac:dyDescent="0.25">
      <c r="A53" s="1"/>
      <c r="B53" s="8"/>
      <c r="C53" s="8"/>
      <c r="D53" s="57" t="s">
        <v>50</v>
      </c>
      <c r="E53" s="55"/>
      <c r="F53" s="55"/>
      <c r="G53" s="57" t="s">
        <v>50</v>
      </c>
      <c r="H53" s="8"/>
      <c r="I53" s="8"/>
      <c r="J53" s="8"/>
      <c r="K53" s="8"/>
      <c r="L53" s="8"/>
      <c r="M53" s="8"/>
      <c r="N53" s="8"/>
      <c r="O53" s="8"/>
    </row>
    <row r="54" spans="1:15" ht="26.25" customHeight="1" x14ac:dyDescent="0.25">
      <c r="A54" s="1"/>
      <c r="B54" s="8"/>
      <c r="C54" s="8"/>
      <c r="D54" s="57">
        <f>D52*K29</f>
        <v>65.88</v>
      </c>
      <c r="E54" s="55"/>
      <c r="F54" s="55"/>
      <c r="G54" s="57">
        <f>G52*K29</f>
        <v>85.860000000000014</v>
      </c>
      <c r="H54" s="8"/>
      <c r="I54" s="8"/>
      <c r="J54" s="8"/>
      <c r="K54" s="8"/>
      <c r="L54" s="8"/>
      <c r="M54" s="8"/>
      <c r="N54" s="8"/>
      <c r="O54" s="8"/>
    </row>
    <row r="55" spans="1:15" ht="26.25" customHeight="1" x14ac:dyDescent="0.25">
      <c r="A55" s="1"/>
      <c r="B55" s="8"/>
      <c r="C55" s="8"/>
      <c r="D55" s="57" t="s">
        <v>51</v>
      </c>
      <c r="E55" s="55"/>
      <c r="F55" s="55"/>
      <c r="G55" s="57" t="s">
        <v>51</v>
      </c>
      <c r="H55" s="8"/>
      <c r="I55" s="8"/>
      <c r="J55" s="8"/>
      <c r="K55" s="8"/>
      <c r="L55" s="8"/>
      <c r="M55" s="8"/>
      <c r="N55" s="8"/>
      <c r="O55" s="8"/>
    </row>
    <row r="56" spans="1:15" ht="26.25" customHeight="1" x14ac:dyDescent="0.25">
      <c r="A56" s="1"/>
      <c r="B56" s="8"/>
      <c r="C56" s="8"/>
      <c r="D56" s="57">
        <f>D52+D54</f>
        <v>724.68</v>
      </c>
      <c r="E56" s="55"/>
      <c r="F56" s="55"/>
      <c r="G56" s="57">
        <f>G52+G54</f>
        <v>944.46</v>
      </c>
      <c r="H56" s="8"/>
      <c r="I56" s="8"/>
      <c r="J56" s="8"/>
      <c r="K56" s="8"/>
      <c r="L56" s="8"/>
      <c r="M56" s="8"/>
      <c r="N56" s="8"/>
      <c r="O56" s="8"/>
    </row>
    <row r="57" spans="1:15" ht="26.25" customHeight="1" x14ac:dyDescent="0.25">
      <c r="A57" s="1"/>
      <c r="B57" s="8"/>
      <c r="C57" s="8"/>
      <c r="D57" s="57" t="s">
        <v>53</v>
      </c>
      <c r="E57" s="55"/>
      <c r="F57" s="55"/>
      <c r="G57" s="57" t="s">
        <v>53</v>
      </c>
      <c r="H57" s="8"/>
      <c r="I57" s="8"/>
      <c r="J57" s="8"/>
      <c r="K57" s="8"/>
      <c r="L57" s="8"/>
      <c r="M57" s="8"/>
      <c r="N57" s="8"/>
      <c r="O57" s="8"/>
    </row>
    <row r="58" spans="1:15" ht="26.25" customHeight="1" x14ac:dyDescent="0.25">
      <c r="A58" s="1"/>
      <c r="B58" s="8"/>
      <c r="C58" s="8"/>
      <c r="D58" s="57">
        <f>D56+(D52*0.1)</f>
        <v>790.56</v>
      </c>
      <c r="E58" s="55"/>
      <c r="F58" s="55"/>
      <c r="G58" s="57">
        <f>G56+(G52*0.1)</f>
        <v>1030.3200000000002</v>
      </c>
      <c r="H58" s="8"/>
      <c r="I58" s="8"/>
      <c r="J58" s="8"/>
      <c r="K58" s="8"/>
      <c r="L58" s="8"/>
      <c r="M58" s="8"/>
      <c r="N58" s="8"/>
      <c r="O58" s="8"/>
    </row>
    <row r="59" spans="1:15" ht="26.25" customHeight="1" x14ac:dyDescent="0.25">
      <c r="A59" s="1"/>
      <c r="B59" s="8"/>
      <c r="C59" s="8"/>
      <c r="D59" s="57"/>
      <c r="E59" s="55"/>
      <c r="F59" s="55"/>
      <c r="G59" s="57"/>
      <c r="H59" s="8"/>
      <c r="I59" s="8"/>
      <c r="J59" s="8"/>
      <c r="K59" s="8"/>
      <c r="L59" s="8"/>
      <c r="M59" s="8"/>
      <c r="N59" s="8"/>
      <c r="O59" s="8"/>
    </row>
    <row r="60" spans="1:15" ht="26.25" customHeight="1" x14ac:dyDescent="0.25">
      <c r="A60" s="1"/>
      <c r="B60" s="8"/>
      <c r="C60" s="8"/>
      <c r="D60" s="57" t="s">
        <v>55</v>
      </c>
      <c r="E60" s="53"/>
      <c r="F60" s="53"/>
      <c r="G60" s="57" t="s">
        <v>55</v>
      </c>
      <c r="H60" s="8"/>
      <c r="I60" s="8"/>
      <c r="J60" s="8"/>
      <c r="K60" s="8"/>
      <c r="L60" s="8"/>
      <c r="M60" s="8"/>
      <c r="N60" s="8"/>
      <c r="O60" s="8"/>
    </row>
    <row r="61" spans="1:15" ht="26.25" customHeight="1" x14ac:dyDescent="0.25">
      <c r="A61" s="1"/>
      <c r="B61" s="8"/>
      <c r="C61" s="8"/>
      <c r="D61" s="57">
        <f>I27*4</f>
        <v>976</v>
      </c>
      <c r="E61" s="55"/>
      <c r="F61" s="55"/>
      <c r="G61" s="57">
        <f>K27*4</f>
        <v>1272</v>
      </c>
      <c r="H61" s="8"/>
      <c r="I61" s="8"/>
      <c r="J61" s="8"/>
      <c r="K61" s="8"/>
      <c r="L61" s="8"/>
      <c r="M61" s="8"/>
      <c r="N61" s="8"/>
      <c r="O61" s="8"/>
    </row>
    <row r="62" spans="1:15" ht="26.25" customHeight="1" x14ac:dyDescent="0.25">
      <c r="A62" s="1"/>
      <c r="B62" s="8"/>
      <c r="C62" s="8"/>
      <c r="D62" s="57" t="s">
        <v>48</v>
      </c>
      <c r="E62" s="55"/>
      <c r="F62" s="55"/>
      <c r="G62" s="57" t="s">
        <v>48</v>
      </c>
      <c r="H62" s="8"/>
      <c r="I62" s="8"/>
      <c r="J62" s="8"/>
      <c r="K62" s="8"/>
      <c r="L62" s="8"/>
      <c r="M62" s="8"/>
      <c r="N62" s="8"/>
      <c r="O62" s="8"/>
    </row>
    <row r="63" spans="1:15" ht="26.25" customHeight="1" x14ac:dyDescent="0.25">
      <c r="A63" s="1"/>
      <c r="B63" s="8"/>
      <c r="C63" s="8"/>
      <c r="D63" s="57">
        <f>D61*(K28*3)</f>
        <v>146.40000000000003</v>
      </c>
      <c r="E63" s="55"/>
      <c r="F63" s="55"/>
      <c r="G63" s="57">
        <f>G61*(K28*3)</f>
        <v>190.80000000000004</v>
      </c>
      <c r="H63" s="8"/>
      <c r="I63" s="8"/>
      <c r="J63" s="8"/>
      <c r="K63" s="8"/>
      <c r="L63" s="8"/>
      <c r="M63" s="8"/>
      <c r="N63" s="8"/>
      <c r="O63" s="8"/>
    </row>
    <row r="64" spans="1:15" ht="26.25" customHeight="1" x14ac:dyDescent="0.25">
      <c r="A64" s="1"/>
      <c r="B64" s="8"/>
      <c r="C64" s="8"/>
      <c r="D64" s="57" t="s">
        <v>49</v>
      </c>
      <c r="E64" s="55"/>
      <c r="F64" s="55"/>
      <c r="G64" s="57" t="s">
        <v>49</v>
      </c>
      <c r="H64" s="8"/>
      <c r="I64" s="8"/>
      <c r="J64" s="8"/>
      <c r="K64" s="8"/>
      <c r="L64" s="8"/>
      <c r="M64" s="8"/>
      <c r="N64" s="8"/>
      <c r="O64" s="8"/>
    </row>
    <row r="65" spans="1:15" ht="26.25" customHeight="1" x14ac:dyDescent="0.25">
      <c r="A65" s="1"/>
      <c r="B65" s="8"/>
      <c r="C65" s="8"/>
      <c r="D65" s="57">
        <f>D61-D63</f>
        <v>829.59999999999991</v>
      </c>
      <c r="E65" s="55"/>
      <c r="F65" s="55"/>
      <c r="G65" s="57">
        <f>G61-G63</f>
        <v>1081.2</v>
      </c>
      <c r="H65" s="8"/>
      <c r="I65" s="8"/>
      <c r="J65" s="8"/>
      <c r="K65" s="8"/>
      <c r="L65" s="8"/>
      <c r="M65" s="8"/>
      <c r="N65" s="8"/>
      <c r="O65" s="8"/>
    </row>
    <row r="66" spans="1:15" ht="26.25" customHeight="1" x14ac:dyDescent="0.25">
      <c r="A66" s="1"/>
      <c r="B66" s="8"/>
      <c r="C66" s="8"/>
      <c r="D66" s="57" t="s">
        <v>50</v>
      </c>
      <c r="E66" s="55"/>
      <c r="F66" s="55"/>
      <c r="G66" s="57" t="s">
        <v>50</v>
      </c>
      <c r="H66" s="8"/>
      <c r="I66" s="8"/>
      <c r="J66" s="8"/>
      <c r="K66" s="8"/>
      <c r="L66" s="8"/>
      <c r="M66" s="8"/>
      <c r="N66" s="8"/>
      <c r="O66" s="8"/>
    </row>
    <row r="67" spans="1:15" ht="26.25" customHeight="1" x14ac:dyDescent="0.25">
      <c r="A67" s="1"/>
      <c r="B67" s="8"/>
      <c r="C67" s="8"/>
      <c r="D67" s="57">
        <f>D65*K29</f>
        <v>82.96</v>
      </c>
      <c r="E67" s="55"/>
      <c r="F67" s="55"/>
      <c r="G67" s="57">
        <f>G65*K29</f>
        <v>108.12</v>
      </c>
      <c r="H67" s="8"/>
      <c r="I67" s="8"/>
      <c r="J67" s="8"/>
      <c r="K67" s="8"/>
      <c r="L67" s="8"/>
      <c r="M67" s="8"/>
      <c r="N67" s="8"/>
      <c r="O67" s="8"/>
    </row>
    <row r="68" spans="1:15" ht="26.25" customHeight="1" x14ac:dyDescent="0.25">
      <c r="A68" s="1"/>
      <c r="B68" s="8"/>
      <c r="C68" s="8"/>
      <c r="D68" s="57" t="s">
        <v>51</v>
      </c>
      <c r="E68" s="55"/>
      <c r="F68" s="55"/>
      <c r="G68" s="57" t="s">
        <v>51</v>
      </c>
      <c r="H68" s="8"/>
      <c r="I68" s="8"/>
      <c r="J68" s="8"/>
      <c r="K68" s="8"/>
      <c r="L68" s="8"/>
      <c r="M68" s="8"/>
      <c r="N68" s="8"/>
      <c r="O68" s="8"/>
    </row>
    <row r="69" spans="1:15" ht="26.25" customHeight="1" x14ac:dyDescent="0.25">
      <c r="A69" s="1"/>
      <c r="B69" s="8"/>
      <c r="C69" s="8"/>
      <c r="D69" s="57">
        <f>D65+D67</f>
        <v>912.56</v>
      </c>
      <c r="E69" s="55"/>
      <c r="F69" s="55"/>
      <c r="G69" s="57">
        <f>G65+G67</f>
        <v>1189.3200000000002</v>
      </c>
      <c r="H69" s="8"/>
      <c r="I69" s="8"/>
      <c r="J69" s="8"/>
      <c r="K69" s="8"/>
      <c r="L69" s="8"/>
      <c r="M69" s="8"/>
      <c r="N69" s="8"/>
      <c r="O69" s="8"/>
    </row>
    <row r="70" spans="1:15" ht="26.25" customHeight="1" x14ac:dyDescent="0.25">
      <c r="A70" s="1"/>
      <c r="B70" s="8"/>
      <c r="C70" s="8"/>
      <c r="D70" s="57" t="s">
        <v>53</v>
      </c>
      <c r="E70" s="55"/>
      <c r="F70" s="55"/>
      <c r="G70" s="57" t="s">
        <v>53</v>
      </c>
      <c r="H70" s="8"/>
      <c r="I70" s="8"/>
      <c r="J70" s="8"/>
      <c r="K70" s="8"/>
      <c r="L70" s="8"/>
      <c r="M70" s="8"/>
      <c r="N70" s="8"/>
      <c r="O70" s="8"/>
    </row>
    <row r="71" spans="1:15" ht="26.25" customHeight="1" x14ac:dyDescent="0.25">
      <c r="A71" s="1"/>
      <c r="B71" s="8"/>
      <c r="C71" s="8"/>
      <c r="D71" s="57">
        <f>D69+(D65*0.1)</f>
        <v>995.52</v>
      </c>
      <c r="E71" s="55"/>
      <c r="F71" s="55"/>
      <c r="G71" s="57">
        <f>G69+(G65*0.1)</f>
        <v>1297.44</v>
      </c>
      <c r="H71" s="8"/>
      <c r="I71" s="8"/>
      <c r="J71" s="8"/>
      <c r="K71" s="8"/>
      <c r="L71" s="8"/>
      <c r="M71" s="8"/>
      <c r="N71" s="8"/>
      <c r="O71" s="8"/>
    </row>
    <row r="72" spans="1:15" ht="26.25" customHeight="1" x14ac:dyDescent="0.25">
      <c r="A72" s="1"/>
      <c r="B72" s="8"/>
      <c r="C72" s="8"/>
      <c r="D72" s="57"/>
      <c r="E72" s="55"/>
      <c r="F72" s="55"/>
      <c r="G72" s="57"/>
      <c r="H72" s="8"/>
      <c r="I72" s="8"/>
      <c r="J72" s="8"/>
      <c r="K72" s="8"/>
      <c r="L72" s="8"/>
      <c r="M72" s="8"/>
      <c r="N72" s="8"/>
      <c r="O72" s="8"/>
    </row>
    <row r="73" spans="1:15" ht="26.25" customHeight="1" x14ac:dyDescent="0.25">
      <c r="A73" s="1"/>
      <c r="B73" s="8"/>
      <c r="C73" s="8"/>
      <c r="D73" s="57"/>
      <c r="E73" s="55"/>
      <c r="F73" s="55"/>
      <c r="G73" s="57"/>
      <c r="H73" s="8"/>
      <c r="I73" s="8"/>
      <c r="J73" s="8"/>
      <c r="K73" s="8"/>
      <c r="L73" s="8"/>
      <c r="M73" s="8"/>
      <c r="N73" s="8"/>
      <c r="O73" s="8"/>
    </row>
    <row r="74" spans="1:15" ht="26.25" customHeight="1" x14ac:dyDescent="0.25">
      <c r="A74" s="1"/>
      <c r="B74" s="8"/>
      <c r="C74" s="8"/>
      <c r="D74" s="57"/>
      <c r="E74" s="55"/>
      <c r="F74" s="55"/>
      <c r="G74" s="57"/>
      <c r="H74" s="8"/>
      <c r="I74" s="8"/>
      <c r="J74" s="8"/>
      <c r="K74" s="8"/>
      <c r="L74" s="8"/>
      <c r="M74" s="8"/>
      <c r="N74" s="8"/>
      <c r="O74" s="8"/>
    </row>
    <row r="75" spans="1:15" ht="26.25" customHeight="1" x14ac:dyDescent="0.25">
      <c r="A75" s="1"/>
      <c r="B75" s="8"/>
      <c r="C75" s="8"/>
      <c r="D75" s="61"/>
      <c r="E75" s="55"/>
      <c r="F75" s="55"/>
      <c r="G75" s="57"/>
      <c r="H75" s="8"/>
      <c r="I75" s="8"/>
      <c r="J75" s="8"/>
      <c r="K75" s="8"/>
      <c r="L75" s="8"/>
      <c r="M75" s="8"/>
      <c r="N75" s="8"/>
      <c r="O75" s="8"/>
    </row>
    <row r="76" spans="1:15" ht="26.25" customHeight="1" x14ac:dyDescent="0.25">
      <c r="A76" s="1"/>
      <c r="B76" s="8"/>
      <c r="C76" s="8"/>
      <c r="D76" s="61"/>
      <c r="E76" s="55"/>
      <c r="F76" s="55"/>
      <c r="G76" s="57"/>
      <c r="H76" s="8"/>
      <c r="I76" s="8"/>
      <c r="J76" s="8"/>
      <c r="K76" s="8"/>
      <c r="L76" s="8"/>
      <c r="M76" s="8"/>
      <c r="N76" s="8"/>
      <c r="O76" s="8"/>
    </row>
    <row r="77" spans="1:15" ht="26.25" customHeight="1" x14ac:dyDescent="0.25">
      <c r="A77" s="1"/>
      <c r="B77" s="8"/>
      <c r="C77" s="8"/>
      <c r="D77" s="61"/>
      <c r="E77" s="55"/>
      <c r="F77" s="55"/>
      <c r="G77" s="57"/>
      <c r="H77" s="8"/>
      <c r="I77" s="8"/>
      <c r="J77" s="8"/>
      <c r="K77" s="8"/>
      <c r="L77" s="8"/>
      <c r="M77" s="8"/>
      <c r="N77" s="8"/>
      <c r="O77" s="8"/>
    </row>
    <row r="78" spans="1:15" ht="26.25" customHeight="1" x14ac:dyDescent="0.25">
      <c r="A78" s="1"/>
      <c r="B78" s="8"/>
      <c r="C78" s="8"/>
      <c r="D78" s="61"/>
      <c r="E78" s="55"/>
      <c r="F78" s="55"/>
      <c r="G78" s="57"/>
      <c r="H78" s="8"/>
      <c r="I78" s="8"/>
      <c r="J78" s="8"/>
      <c r="K78" s="8"/>
      <c r="L78" s="8"/>
      <c r="M78" s="8"/>
      <c r="N78" s="8"/>
      <c r="O78" s="8"/>
    </row>
    <row r="79" spans="1:15" ht="26.25" customHeight="1" x14ac:dyDescent="0.25">
      <c r="A79" s="1"/>
      <c r="B79" s="8"/>
      <c r="C79" s="8"/>
      <c r="D79" s="61"/>
      <c r="E79" s="55"/>
      <c r="F79" s="55"/>
      <c r="G79" s="57"/>
      <c r="H79" s="8"/>
      <c r="I79" s="8"/>
      <c r="J79" s="8"/>
      <c r="K79" s="8"/>
      <c r="L79" s="8"/>
      <c r="M79" s="8"/>
      <c r="N79" s="8"/>
      <c r="O79" s="8"/>
    </row>
    <row r="80" spans="1:15" ht="26.25" customHeight="1" x14ac:dyDescent="0.25">
      <c r="A80" s="1"/>
      <c r="B80" s="8"/>
      <c r="C80" s="8"/>
      <c r="D80" s="61"/>
      <c r="E80" s="55"/>
      <c r="F80" s="55"/>
      <c r="G80" s="55"/>
      <c r="H80" s="8"/>
      <c r="I80" s="8"/>
      <c r="J80" s="8"/>
      <c r="K80" s="8"/>
      <c r="L80" s="8"/>
      <c r="M80" s="8"/>
      <c r="N80" s="8"/>
      <c r="O80" s="8"/>
    </row>
    <row r="81" spans="1:15" ht="26.25" customHeight="1" x14ac:dyDescent="0.25">
      <c r="A81" s="1"/>
      <c r="B81" s="8"/>
      <c r="C81" s="8"/>
      <c r="D81" s="61"/>
      <c r="E81" s="55"/>
      <c r="F81" s="55"/>
      <c r="G81" s="55"/>
      <c r="H81" s="8"/>
      <c r="I81" s="8"/>
      <c r="J81" s="8"/>
      <c r="K81" s="8"/>
      <c r="L81" s="8"/>
      <c r="M81" s="8"/>
      <c r="N81" s="8"/>
      <c r="O81" s="8"/>
    </row>
    <row r="82" spans="1:15" ht="26.25" customHeight="1" x14ac:dyDescent="0.25">
      <c r="A82" s="1"/>
      <c r="B82" s="8"/>
      <c r="C82" s="8"/>
      <c r="D82" s="61"/>
      <c r="E82" s="50"/>
      <c r="F82" s="50"/>
      <c r="G82" s="55"/>
      <c r="H82" s="8"/>
      <c r="I82" s="8"/>
      <c r="J82" s="8"/>
      <c r="K82" s="8"/>
      <c r="L82" s="8"/>
      <c r="M82" s="8"/>
      <c r="N82" s="8"/>
      <c r="O82" s="8"/>
    </row>
    <row r="83" spans="1:15" ht="26.25" customHeight="1" x14ac:dyDescent="0.25">
      <c r="A83" s="1"/>
      <c r="B83" s="8"/>
      <c r="C83" s="8"/>
      <c r="D83" s="61"/>
      <c r="E83" s="50"/>
      <c r="F83" s="50"/>
      <c r="G83" s="55"/>
      <c r="H83" s="8"/>
      <c r="I83" s="8"/>
      <c r="J83" s="8"/>
      <c r="K83" s="8"/>
      <c r="L83" s="8"/>
      <c r="M83" s="8"/>
      <c r="N83" s="8"/>
      <c r="O83" s="8"/>
    </row>
    <row r="84" spans="1:15" ht="26.25" customHeight="1" x14ac:dyDescent="0.25">
      <c r="A84" s="1"/>
      <c r="B84" s="8"/>
      <c r="C84" s="8"/>
      <c r="D84" s="61"/>
      <c r="E84" s="8"/>
      <c r="F84" s="8"/>
      <c r="G84" s="55"/>
      <c r="H84" s="8"/>
      <c r="I84" s="8"/>
      <c r="J84" s="8"/>
      <c r="K84" s="8"/>
      <c r="L84" s="8"/>
      <c r="M84" s="8"/>
      <c r="N84" s="8"/>
      <c r="O84" s="8"/>
    </row>
    <row r="85" spans="1:15" ht="26.25" customHeight="1" x14ac:dyDescent="0.25">
      <c r="A85" s="1"/>
      <c r="B85" s="8"/>
      <c r="C85" s="8"/>
      <c r="D85" s="61"/>
      <c r="E85" s="8"/>
      <c r="F85" s="8"/>
      <c r="G85" s="55"/>
      <c r="H85" s="8"/>
      <c r="I85" s="8"/>
      <c r="J85" s="8"/>
      <c r="K85" s="8"/>
      <c r="L85" s="8"/>
      <c r="M85" s="8"/>
      <c r="N85" s="8"/>
      <c r="O85" s="8"/>
    </row>
    <row r="86" spans="1:15" ht="26.25" customHeight="1" x14ac:dyDescent="0.25">
      <c r="A86" s="1"/>
      <c r="B86" s="8"/>
      <c r="C86" s="8"/>
      <c r="D86" s="61"/>
      <c r="E86" s="8"/>
      <c r="F86" s="8"/>
      <c r="G86" s="55"/>
      <c r="H86" s="8"/>
      <c r="I86" s="8"/>
      <c r="J86" s="8"/>
      <c r="K86" s="8"/>
      <c r="L86" s="8"/>
      <c r="M86" s="8"/>
      <c r="N86" s="8"/>
      <c r="O86" s="8"/>
    </row>
    <row r="87" spans="1:15" ht="26.25" customHeight="1" x14ac:dyDescent="0.25">
      <c r="A87" s="1"/>
      <c r="B87" s="8"/>
      <c r="C87" s="8"/>
      <c r="D87" s="61"/>
      <c r="E87" s="8"/>
      <c r="F87" s="8"/>
      <c r="G87" s="55"/>
      <c r="H87" s="8"/>
      <c r="I87" s="8"/>
      <c r="J87" s="8"/>
      <c r="K87" s="8"/>
      <c r="L87" s="8"/>
      <c r="M87" s="8"/>
      <c r="N87" s="8"/>
      <c r="O87" s="8"/>
    </row>
    <row r="88" spans="1:15" ht="26.25" customHeight="1" x14ac:dyDescent="0.25">
      <c r="A88" s="1"/>
      <c r="B88" s="8"/>
      <c r="C88" s="8"/>
      <c r="D88" s="61"/>
      <c r="E88" s="8"/>
      <c r="F88" s="8"/>
      <c r="G88" s="55"/>
      <c r="H88" s="8"/>
      <c r="I88" s="8"/>
      <c r="J88" s="8"/>
      <c r="K88" s="8"/>
      <c r="L88" s="8"/>
      <c r="M88" s="8"/>
      <c r="N88" s="8"/>
      <c r="O88" s="8"/>
    </row>
    <row r="89" spans="1:15" ht="26.25" customHeight="1" x14ac:dyDescent="0.25">
      <c r="A89" s="1"/>
      <c r="B89" s="8"/>
      <c r="C89" s="8"/>
      <c r="D89" s="61"/>
      <c r="E89" s="8"/>
      <c r="F89" s="8"/>
      <c r="G89" s="55"/>
      <c r="H89" s="8"/>
      <c r="I89" s="8"/>
      <c r="J89" s="8"/>
      <c r="K89" s="8"/>
      <c r="L89" s="8"/>
      <c r="M89" s="8"/>
      <c r="N89" s="8"/>
      <c r="O89" s="8"/>
    </row>
    <row r="90" spans="1:15" ht="26.25" customHeight="1" x14ac:dyDescent="0.25">
      <c r="A90" s="1"/>
      <c r="B90" s="8"/>
      <c r="C90" s="8"/>
      <c r="D90" s="61"/>
      <c r="E90" s="8"/>
      <c r="F90" s="8"/>
      <c r="G90" s="55"/>
      <c r="H90" s="8"/>
      <c r="I90" s="8"/>
      <c r="J90" s="8"/>
      <c r="K90" s="8"/>
      <c r="L90" s="8"/>
      <c r="M90" s="8"/>
      <c r="N90" s="8"/>
      <c r="O90" s="8"/>
    </row>
    <row r="91" spans="1:15" ht="26.25" customHeight="1" x14ac:dyDescent="0.25">
      <c r="A91" s="1"/>
      <c r="B91" s="8"/>
      <c r="C91" s="8"/>
      <c r="D91" s="61"/>
      <c r="E91" s="8"/>
      <c r="F91" s="8"/>
      <c r="G91" s="55"/>
      <c r="H91" s="8"/>
      <c r="I91" s="8"/>
      <c r="J91" s="8"/>
      <c r="K91" s="8"/>
      <c r="L91" s="8"/>
      <c r="M91" s="8"/>
      <c r="N91" s="8"/>
      <c r="O91" s="8"/>
    </row>
    <row r="92" spans="1:15" ht="26.25" customHeight="1" x14ac:dyDescent="0.25">
      <c r="A92" s="1"/>
      <c r="B92" s="8"/>
      <c r="C92" s="8"/>
      <c r="D92" s="61"/>
      <c r="E92" s="8"/>
      <c r="F92" s="8"/>
      <c r="G92" s="55"/>
      <c r="H92" s="8"/>
      <c r="I92" s="8"/>
      <c r="J92" s="8"/>
      <c r="K92" s="8"/>
      <c r="L92" s="8"/>
      <c r="M92" s="8"/>
      <c r="N92" s="8"/>
      <c r="O92" s="8"/>
    </row>
    <row r="93" spans="1:15" ht="26.25" customHeight="1" x14ac:dyDescent="0.25">
      <c r="A93" s="1"/>
      <c r="B93" s="8"/>
      <c r="C93" s="8"/>
      <c r="D93" s="61"/>
      <c r="E93" s="8"/>
      <c r="F93" s="8"/>
      <c r="G93" s="55"/>
      <c r="H93" s="8"/>
      <c r="I93" s="8"/>
      <c r="J93" s="8"/>
      <c r="K93" s="8"/>
      <c r="L93" s="8"/>
      <c r="M93" s="8"/>
      <c r="N93" s="8"/>
      <c r="O93" s="8"/>
    </row>
    <row r="94" spans="1:15" ht="26.25" customHeight="1" x14ac:dyDescent="0.25">
      <c r="A94" s="1"/>
      <c r="B94" s="8"/>
      <c r="C94" s="8"/>
      <c r="D94" s="61"/>
      <c r="E94" s="8"/>
      <c r="F94" s="8"/>
      <c r="G94" s="55"/>
      <c r="H94" s="8"/>
      <c r="I94" s="8"/>
      <c r="J94" s="8"/>
      <c r="K94" s="8"/>
      <c r="L94" s="8"/>
      <c r="M94" s="8"/>
      <c r="N94" s="8"/>
      <c r="O94" s="8"/>
    </row>
    <row r="95" spans="1:15" ht="26.25" customHeight="1" x14ac:dyDescent="0.25">
      <c r="A95" s="1"/>
      <c r="B95" s="8"/>
      <c r="C95" s="8"/>
      <c r="D95" s="61"/>
      <c r="E95" s="8"/>
      <c r="F95" s="8"/>
      <c r="G95" s="55"/>
      <c r="H95" s="8"/>
      <c r="I95" s="8"/>
      <c r="J95" s="8"/>
      <c r="K95" s="8"/>
      <c r="L95" s="8"/>
      <c r="M95" s="8"/>
      <c r="N95" s="8"/>
      <c r="O95" s="8"/>
    </row>
    <row r="96" spans="1:15" ht="26.25" customHeight="1" x14ac:dyDescent="0.25">
      <c r="A96" s="1"/>
      <c r="B96" s="8"/>
      <c r="C96" s="8"/>
      <c r="D96" s="61"/>
      <c r="E96" s="8"/>
      <c r="F96" s="8"/>
      <c r="G96" s="55"/>
      <c r="H96" s="8"/>
      <c r="I96" s="8"/>
      <c r="J96" s="8"/>
      <c r="K96" s="8"/>
      <c r="L96" s="8"/>
      <c r="M96" s="8"/>
      <c r="N96" s="8"/>
      <c r="O96" s="8"/>
    </row>
    <row r="97" spans="1:15" ht="26.25" customHeight="1" x14ac:dyDescent="0.25">
      <c r="A97" s="1"/>
      <c r="B97" s="8"/>
      <c r="C97" s="8"/>
      <c r="D97" s="61"/>
      <c r="E97" s="8"/>
      <c r="F97" s="8"/>
      <c r="G97" s="55"/>
      <c r="H97" s="8"/>
      <c r="I97" s="8"/>
      <c r="J97" s="8"/>
      <c r="K97" s="8"/>
      <c r="L97" s="8"/>
      <c r="M97" s="8"/>
      <c r="N97" s="8"/>
      <c r="O97" s="8"/>
    </row>
    <row r="98" spans="1:15" ht="26.25" customHeight="1" x14ac:dyDescent="0.25">
      <c r="A98" s="1"/>
      <c r="B98" s="8"/>
      <c r="C98" s="8"/>
      <c r="D98" s="61"/>
      <c r="E98" s="8"/>
      <c r="F98" s="8"/>
      <c r="G98" s="55"/>
      <c r="H98" s="8"/>
      <c r="I98" s="8"/>
      <c r="J98" s="8"/>
      <c r="K98" s="8"/>
      <c r="L98" s="8"/>
      <c r="M98" s="8"/>
      <c r="N98" s="8"/>
      <c r="O98" s="8"/>
    </row>
    <row r="99" spans="1:15" ht="26.25" customHeight="1" x14ac:dyDescent="0.25">
      <c r="A99" s="1"/>
      <c r="B99" s="8"/>
      <c r="C99" s="8"/>
      <c r="D99" s="61"/>
      <c r="E99" s="8"/>
      <c r="F99" s="8"/>
      <c r="G99" s="55"/>
      <c r="H99" s="8"/>
      <c r="I99" s="8"/>
      <c r="J99" s="8"/>
      <c r="K99" s="8"/>
      <c r="L99" s="8"/>
      <c r="M99" s="8"/>
      <c r="N99" s="8"/>
      <c r="O99" s="8"/>
    </row>
    <row r="100" spans="1:15" ht="26.25" customHeight="1" x14ac:dyDescent="0.25">
      <c r="A100" s="1"/>
      <c r="B100" s="8"/>
      <c r="C100" s="8"/>
      <c r="D100" s="61"/>
      <c r="E100" s="8"/>
      <c r="F100" s="8"/>
      <c r="G100" s="55"/>
      <c r="H100" s="8"/>
      <c r="I100" s="8"/>
      <c r="J100" s="8"/>
      <c r="K100" s="8"/>
      <c r="L100" s="8"/>
      <c r="M100" s="8"/>
      <c r="N100" s="8"/>
      <c r="O100" s="8"/>
    </row>
    <row r="101" spans="1:15" ht="26.25" customHeight="1" x14ac:dyDescent="0.25">
      <c r="A101" s="1"/>
      <c r="B101" s="8"/>
      <c r="C101" s="8"/>
      <c r="D101" s="61"/>
      <c r="E101" s="8"/>
      <c r="F101" s="8"/>
      <c r="G101" s="55"/>
      <c r="H101" s="8"/>
      <c r="I101" s="8"/>
      <c r="J101" s="8"/>
      <c r="K101" s="8"/>
      <c r="L101" s="8"/>
      <c r="M101" s="8"/>
      <c r="N101" s="8"/>
      <c r="O101" s="8"/>
    </row>
    <row r="102" spans="1:15" ht="26.25" customHeight="1" x14ac:dyDescent="0.25">
      <c r="A102" s="1"/>
      <c r="B102" s="8"/>
      <c r="C102" s="8"/>
      <c r="D102" s="61"/>
      <c r="E102" s="8"/>
      <c r="F102" s="8"/>
      <c r="G102" s="55"/>
      <c r="H102" s="8"/>
      <c r="I102" s="8"/>
      <c r="J102" s="8"/>
      <c r="K102" s="8"/>
      <c r="L102" s="8"/>
      <c r="M102" s="8"/>
      <c r="N102" s="8"/>
      <c r="O102" s="8"/>
    </row>
    <row r="103" spans="1:15" ht="26.25" customHeight="1" x14ac:dyDescent="0.25">
      <c r="A103" s="1"/>
      <c r="B103" s="8"/>
      <c r="C103" s="8"/>
      <c r="D103" s="61"/>
      <c r="E103" s="8"/>
      <c r="F103" s="8"/>
      <c r="G103" s="55"/>
      <c r="H103" s="8"/>
      <c r="I103" s="8"/>
      <c r="J103" s="8"/>
      <c r="K103" s="8"/>
      <c r="L103" s="8"/>
      <c r="M103" s="8"/>
      <c r="N103" s="8"/>
      <c r="O103" s="8"/>
    </row>
    <row r="104" spans="1:15" ht="26.25" customHeight="1" x14ac:dyDescent="0.25">
      <c r="A104" s="1"/>
      <c r="B104" s="8"/>
      <c r="C104" s="8"/>
      <c r="D104" s="61"/>
      <c r="E104" s="8"/>
      <c r="F104" s="8"/>
      <c r="G104" s="55"/>
      <c r="H104" s="8"/>
      <c r="I104" s="8"/>
      <c r="J104" s="8"/>
      <c r="K104" s="8"/>
      <c r="L104" s="8"/>
      <c r="M104" s="8"/>
      <c r="N104" s="8"/>
      <c r="O104" s="8"/>
    </row>
    <row r="105" spans="1:15" ht="26.25" customHeight="1" x14ac:dyDescent="0.25">
      <c r="A105" s="1"/>
      <c r="B105" s="8"/>
      <c r="C105" s="8"/>
      <c r="D105" s="61"/>
      <c r="E105" s="8"/>
      <c r="F105" s="8"/>
      <c r="G105" s="55"/>
      <c r="H105" s="8"/>
      <c r="I105" s="8"/>
      <c r="J105" s="8"/>
      <c r="K105" s="8"/>
      <c r="L105" s="8"/>
      <c r="M105" s="8"/>
      <c r="N105" s="8"/>
      <c r="O105" s="8"/>
    </row>
    <row r="106" spans="1:15" ht="26.25" customHeight="1" x14ac:dyDescent="0.25">
      <c r="A106" s="1"/>
      <c r="B106" s="8"/>
      <c r="C106" s="8"/>
      <c r="D106" s="61"/>
      <c r="E106" s="8"/>
      <c r="F106" s="8"/>
      <c r="G106" s="55"/>
      <c r="H106" s="8"/>
      <c r="I106" s="8"/>
      <c r="J106" s="8"/>
      <c r="K106" s="8"/>
      <c r="L106" s="8"/>
      <c r="M106" s="8"/>
      <c r="N106" s="8"/>
      <c r="O106" s="8"/>
    </row>
    <row r="107" spans="1:15" ht="26.25" customHeight="1" x14ac:dyDescent="0.25">
      <c r="A107" s="1"/>
      <c r="B107" s="8"/>
      <c r="C107" s="8"/>
      <c r="D107" s="61"/>
      <c r="E107" s="8"/>
      <c r="F107" s="8"/>
      <c r="G107" s="55"/>
      <c r="H107" s="8"/>
      <c r="I107" s="8"/>
      <c r="J107" s="8"/>
      <c r="K107" s="8"/>
      <c r="L107" s="8"/>
      <c r="M107" s="8"/>
      <c r="N107" s="8"/>
      <c r="O107" s="8"/>
    </row>
    <row r="108" spans="1:15" ht="26.25" customHeight="1" x14ac:dyDescent="0.25">
      <c r="A108" s="1"/>
      <c r="B108" s="8"/>
      <c r="C108" s="8"/>
      <c r="D108" s="61"/>
      <c r="E108" s="8"/>
      <c r="F108" s="8"/>
      <c r="G108" s="55"/>
      <c r="H108" s="8"/>
      <c r="I108" s="8"/>
      <c r="J108" s="8"/>
      <c r="K108" s="8"/>
      <c r="L108" s="8"/>
      <c r="M108" s="8"/>
      <c r="N108" s="8"/>
      <c r="O108" s="8"/>
    </row>
    <row r="109" spans="1:15" ht="26.25" customHeight="1" x14ac:dyDescent="0.25">
      <c r="A109" s="1"/>
      <c r="B109" s="8"/>
      <c r="C109" s="8"/>
      <c r="D109" s="61"/>
      <c r="E109" s="8"/>
      <c r="F109" s="8"/>
      <c r="G109" s="55"/>
      <c r="H109" s="8"/>
      <c r="I109" s="8"/>
      <c r="J109" s="8"/>
      <c r="K109" s="8"/>
      <c r="L109" s="8"/>
      <c r="M109" s="8"/>
      <c r="N109" s="8"/>
      <c r="O109" s="8"/>
    </row>
    <row r="110" spans="1:15" ht="26.25" customHeight="1" x14ac:dyDescent="0.25">
      <c r="A110" s="1"/>
      <c r="B110" s="1"/>
      <c r="C110" s="1"/>
      <c r="D110" s="61"/>
      <c r="E110" s="8"/>
      <c r="F110" s="8"/>
      <c r="G110" s="55"/>
      <c r="H110" s="8"/>
      <c r="I110" s="8"/>
      <c r="J110" s="8"/>
      <c r="K110" s="8"/>
      <c r="L110" s="8"/>
      <c r="M110" s="8"/>
      <c r="N110" s="8"/>
      <c r="O110" s="8"/>
    </row>
    <row r="111" spans="1:15" ht="26.25" customHeight="1" x14ac:dyDescent="0.25">
      <c r="A111" s="1"/>
      <c r="B111" s="1"/>
      <c r="C111" s="1"/>
      <c r="D111" s="61"/>
      <c r="E111" s="8"/>
      <c r="F111" s="8"/>
      <c r="G111" s="55"/>
      <c r="H111" s="8"/>
      <c r="I111" s="8"/>
      <c r="J111" s="8"/>
      <c r="K111" s="8"/>
      <c r="L111" s="8"/>
      <c r="M111" s="8"/>
      <c r="N111" s="8"/>
      <c r="O111" s="8"/>
    </row>
    <row r="112" spans="1:15" ht="26.25" customHeight="1" x14ac:dyDescent="0.25">
      <c r="A112" s="1"/>
      <c r="B112" s="1"/>
      <c r="C112" s="1"/>
      <c r="D112" s="61"/>
      <c r="E112" s="8"/>
      <c r="F112" s="8"/>
      <c r="G112" s="55"/>
      <c r="H112" s="8"/>
      <c r="I112" s="8"/>
      <c r="J112" s="8"/>
      <c r="K112" s="8"/>
      <c r="L112" s="8"/>
      <c r="M112" s="8"/>
      <c r="N112" s="8"/>
      <c r="O112" s="8"/>
    </row>
    <row r="113" spans="1:15" ht="26.25" customHeight="1" x14ac:dyDescent="0.25">
      <c r="A113" s="1"/>
      <c r="B113" s="1"/>
      <c r="C113" s="1"/>
      <c r="D113" s="61"/>
      <c r="E113" s="8"/>
      <c r="F113" s="8"/>
      <c r="G113" s="55"/>
      <c r="H113" s="8"/>
      <c r="I113" s="8"/>
      <c r="J113" s="8"/>
      <c r="K113" s="8"/>
      <c r="L113" s="8"/>
      <c r="M113" s="8"/>
      <c r="N113" s="8"/>
      <c r="O113" s="8"/>
    </row>
    <row r="114" spans="1:15" ht="26.25" customHeight="1" x14ac:dyDescent="0.25">
      <c r="A114" s="1"/>
      <c r="B114" s="1"/>
      <c r="C114" s="1"/>
      <c r="D114" s="61"/>
      <c r="E114" s="8"/>
      <c r="F114" s="8"/>
      <c r="G114" s="55"/>
      <c r="H114" s="8"/>
      <c r="I114" s="8"/>
      <c r="J114" s="8"/>
      <c r="K114" s="8"/>
      <c r="L114" s="8"/>
      <c r="M114" s="8"/>
      <c r="N114" s="8"/>
      <c r="O114" s="8"/>
    </row>
    <row r="115" spans="1:15" ht="26.25" customHeight="1" x14ac:dyDescent="0.25">
      <c r="A115" s="1"/>
      <c r="B115" s="1"/>
      <c r="C115" s="1"/>
      <c r="D115" s="61"/>
      <c r="E115" s="8"/>
      <c r="F115" s="8"/>
      <c r="G115" s="55"/>
      <c r="H115" s="8"/>
      <c r="I115" s="8"/>
      <c r="J115" s="8"/>
      <c r="K115" s="8"/>
      <c r="L115" s="2"/>
      <c r="M115" s="2"/>
      <c r="N115" s="2"/>
      <c r="O115" s="2"/>
    </row>
    <row r="116" spans="1:15" ht="26.25" customHeight="1" x14ac:dyDescent="0.25">
      <c r="A116" s="1"/>
      <c r="B116" s="1"/>
      <c r="C116" s="1"/>
      <c r="D116" s="61"/>
      <c r="E116" s="8"/>
      <c r="F116" s="8"/>
      <c r="G116" s="55"/>
      <c r="H116" s="8"/>
      <c r="I116" s="8"/>
      <c r="J116" s="8"/>
      <c r="K116" s="8"/>
      <c r="L116" s="2"/>
      <c r="M116" s="2"/>
      <c r="N116" s="2"/>
      <c r="O116" s="2"/>
    </row>
    <row r="117" spans="1:15" ht="26.25" customHeight="1" x14ac:dyDescent="0.25">
      <c r="A117" s="1"/>
      <c r="B117" s="1"/>
      <c r="C117" s="1"/>
      <c r="D117" s="61"/>
      <c r="E117" s="8"/>
      <c r="F117" s="8"/>
      <c r="G117" s="55"/>
      <c r="H117" s="8"/>
      <c r="I117" s="8"/>
      <c r="J117" s="8"/>
      <c r="K117" s="8"/>
      <c r="L117" s="8"/>
      <c r="M117" s="8"/>
      <c r="N117" s="8"/>
      <c r="O117" s="8"/>
    </row>
    <row r="118" spans="1:15" ht="26.25" customHeight="1" x14ac:dyDescent="0.25">
      <c r="A118" s="1"/>
      <c r="B118" s="1"/>
      <c r="C118" s="1"/>
      <c r="D118" s="61"/>
      <c r="E118" s="8"/>
      <c r="F118" s="8"/>
      <c r="G118" s="55"/>
      <c r="H118" s="8"/>
      <c r="I118" s="8"/>
      <c r="J118" s="8"/>
      <c r="K118" s="8"/>
      <c r="L118" s="8"/>
      <c r="M118" s="8"/>
      <c r="N118" s="8"/>
      <c r="O118" s="8"/>
    </row>
    <row r="119" spans="1:15" ht="26.25" customHeight="1" x14ac:dyDescent="0.25">
      <c r="A119" s="1"/>
      <c r="B119" s="1"/>
      <c r="C119" s="1"/>
      <c r="D119" s="61"/>
      <c r="E119" s="8"/>
      <c r="F119" s="8"/>
      <c r="G119" s="55"/>
      <c r="H119" s="8"/>
      <c r="I119" s="8"/>
      <c r="J119" s="8"/>
      <c r="K119" s="8"/>
      <c r="L119" s="8"/>
      <c r="M119" s="8"/>
      <c r="N119" s="8"/>
      <c r="O119" s="8"/>
    </row>
    <row r="120" spans="1:15" ht="26.25" customHeight="1" x14ac:dyDescent="0.25">
      <c r="A120" s="1"/>
      <c r="B120" s="1"/>
      <c r="C120" s="1"/>
      <c r="D120" s="61"/>
      <c r="E120" s="8"/>
      <c r="F120" s="8"/>
      <c r="G120" s="55"/>
      <c r="H120" s="8"/>
      <c r="I120" s="8"/>
      <c r="J120" s="8"/>
      <c r="K120" s="8"/>
      <c r="L120" s="8"/>
      <c r="M120" s="8"/>
      <c r="N120" s="8"/>
      <c r="O120" s="8"/>
    </row>
    <row r="121" spans="1:15" ht="26.25" customHeight="1" x14ac:dyDescent="0.25">
      <c r="A121" s="1"/>
      <c r="B121" s="1"/>
      <c r="C121" s="1"/>
      <c r="D121" s="61"/>
      <c r="E121" s="8"/>
      <c r="F121" s="8"/>
      <c r="G121" s="55"/>
      <c r="H121" s="8"/>
      <c r="I121" s="8"/>
      <c r="J121" s="8"/>
      <c r="K121" s="8"/>
      <c r="L121" s="2"/>
      <c r="M121" s="2"/>
      <c r="N121" s="2"/>
      <c r="O121" s="2"/>
    </row>
    <row r="122" spans="1:15" ht="26.25" customHeight="1" x14ac:dyDescent="0.25">
      <c r="A122" s="1"/>
      <c r="B122" s="1"/>
      <c r="C122" s="1"/>
      <c r="D122" s="61"/>
      <c r="E122" s="8"/>
      <c r="F122" s="8"/>
      <c r="G122" s="55"/>
      <c r="H122" s="8"/>
      <c r="I122" s="8"/>
      <c r="J122" s="8"/>
      <c r="K122" s="8"/>
      <c r="L122" s="2"/>
      <c r="M122" s="2"/>
      <c r="N122" s="2"/>
      <c r="O122" s="2"/>
    </row>
    <row r="123" spans="1:15" ht="26.25" customHeight="1" x14ac:dyDescent="0.25">
      <c r="A123" s="1"/>
      <c r="B123" s="1"/>
      <c r="C123" s="1"/>
      <c r="D123" s="61"/>
      <c r="E123" s="8"/>
      <c r="F123" s="8"/>
      <c r="G123" s="55"/>
      <c r="H123" s="8"/>
      <c r="I123" s="8"/>
      <c r="J123" s="8"/>
      <c r="K123" s="8"/>
      <c r="L123" s="8"/>
      <c r="M123" s="8"/>
      <c r="N123" s="8"/>
      <c r="O123" s="8"/>
    </row>
    <row r="124" spans="1:15" ht="26.25" customHeight="1" x14ac:dyDescent="0.25">
      <c r="A124" s="1"/>
      <c r="B124" s="1"/>
      <c r="C124" s="1"/>
      <c r="D124" s="61"/>
      <c r="E124" s="8"/>
      <c r="F124" s="8"/>
      <c r="G124" s="55"/>
      <c r="H124" s="8"/>
      <c r="I124" s="8"/>
      <c r="J124" s="8"/>
      <c r="K124" s="8"/>
      <c r="L124" s="8"/>
      <c r="M124" s="8"/>
      <c r="N124" s="8"/>
      <c r="O124" s="8"/>
    </row>
    <row r="125" spans="1:15" ht="26.25" customHeight="1" x14ac:dyDescent="0.25">
      <c r="A125" s="1"/>
      <c r="B125" s="1"/>
      <c r="C125" s="1"/>
      <c r="D125" s="61"/>
      <c r="E125" s="8"/>
      <c r="F125" s="8"/>
      <c r="G125" s="55"/>
      <c r="H125" s="8"/>
      <c r="I125" s="8"/>
      <c r="J125" s="8"/>
      <c r="K125" s="8"/>
      <c r="L125" s="8"/>
      <c r="M125" s="8"/>
      <c r="N125" s="8"/>
      <c r="O125" s="8"/>
    </row>
    <row r="126" spans="1:15" ht="26.25" customHeight="1" x14ac:dyDescent="0.25">
      <c r="A126" s="1"/>
      <c r="B126" s="1"/>
      <c r="C126" s="1"/>
      <c r="D126" s="61"/>
      <c r="E126" s="8"/>
      <c r="F126" s="8"/>
      <c r="G126" s="55"/>
      <c r="H126" s="8"/>
      <c r="I126" s="8"/>
      <c r="J126" s="8"/>
      <c r="K126" s="8"/>
      <c r="L126" s="8"/>
      <c r="M126" s="8"/>
      <c r="N126" s="8"/>
      <c r="O126" s="8"/>
    </row>
    <row r="127" spans="1:15" ht="26.25" customHeight="1" x14ac:dyDescent="0.25">
      <c r="A127" s="1"/>
      <c r="B127" s="1"/>
      <c r="C127" s="1"/>
      <c r="D127" s="61"/>
      <c r="E127" s="8"/>
      <c r="F127" s="8"/>
      <c r="G127" s="55"/>
      <c r="H127" s="8"/>
      <c r="I127" s="8"/>
      <c r="J127" s="8"/>
      <c r="K127" s="8"/>
      <c r="L127" s="2"/>
      <c r="M127" s="2"/>
      <c r="N127" s="2"/>
      <c r="O127" s="2"/>
    </row>
    <row r="128" spans="1:15" ht="26.25" customHeight="1" x14ac:dyDescent="0.25">
      <c r="A128" s="1"/>
      <c r="B128" s="1"/>
      <c r="C128" s="1"/>
      <c r="D128" s="61"/>
      <c r="E128" s="8"/>
      <c r="F128" s="8"/>
      <c r="G128" s="55"/>
      <c r="H128" s="8"/>
      <c r="I128" s="8"/>
      <c r="J128" s="8"/>
      <c r="K128" s="8"/>
      <c r="L128" s="2"/>
      <c r="M128" s="2"/>
      <c r="N128" s="2"/>
      <c r="O128" s="2"/>
    </row>
    <row r="129" spans="1:15" ht="26.25" customHeight="1" x14ac:dyDescent="0.25">
      <c r="A129" s="1"/>
      <c r="B129" s="1"/>
      <c r="C129" s="1"/>
      <c r="D129" s="61"/>
      <c r="E129" s="8"/>
      <c r="F129" s="8"/>
      <c r="G129" s="55"/>
      <c r="H129" s="8"/>
      <c r="I129" s="8"/>
      <c r="J129" s="8"/>
      <c r="K129" s="8"/>
      <c r="L129" s="8"/>
      <c r="M129" s="8"/>
      <c r="N129" s="8"/>
      <c r="O129" s="8"/>
    </row>
    <row r="130" spans="1:15" ht="26.25" customHeight="1" x14ac:dyDescent="0.25">
      <c r="A130" s="1"/>
      <c r="B130" s="1"/>
      <c r="C130" s="1"/>
      <c r="D130" s="62"/>
      <c r="E130" s="8"/>
      <c r="F130" s="8"/>
      <c r="G130" s="55"/>
      <c r="H130" s="8"/>
      <c r="I130" s="8"/>
      <c r="J130" s="8"/>
      <c r="K130" s="8"/>
      <c r="L130" s="8"/>
      <c r="M130" s="8"/>
      <c r="N130" s="8"/>
      <c r="O130" s="8"/>
    </row>
    <row r="131" spans="1:15" ht="26.25" customHeight="1" x14ac:dyDescent="0.25">
      <c r="A131" s="1"/>
      <c r="B131" s="1"/>
      <c r="C131" s="1"/>
      <c r="D131" s="62"/>
      <c r="E131" s="8"/>
      <c r="F131" s="8"/>
      <c r="G131" s="55"/>
      <c r="H131" s="8"/>
      <c r="I131" s="8"/>
      <c r="J131" s="8"/>
      <c r="K131" s="8"/>
      <c r="L131" s="8"/>
      <c r="M131" s="8"/>
      <c r="N131" s="8"/>
      <c r="O131" s="8"/>
    </row>
    <row r="132" spans="1:15" ht="26.25" customHeight="1" x14ac:dyDescent="0.25">
      <c r="A132" s="1"/>
      <c r="B132" s="1"/>
      <c r="C132" s="1"/>
      <c r="D132" s="62"/>
      <c r="E132" s="8"/>
      <c r="F132" s="8"/>
      <c r="G132" s="55"/>
      <c r="H132" s="8"/>
      <c r="I132" s="8"/>
      <c r="J132" s="8"/>
      <c r="K132" s="8"/>
      <c r="L132" s="8"/>
      <c r="M132" s="8"/>
      <c r="N132" s="8"/>
      <c r="O132" s="8"/>
    </row>
    <row r="133" spans="1:15" ht="26.25" customHeight="1" x14ac:dyDescent="0.25">
      <c r="A133" s="1"/>
      <c r="B133" s="1"/>
      <c r="C133" s="1"/>
      <c r="D133" s="63"/>
      <c r="E133" s="8"/>
      <c r="F133" s="8"/>
      <c r="G133" s="55"/>
      <c r="H133" s="8"/>
      <c r="I133" s="8"/>
      <c r="J133" s="8"/>
      <c r="K133" s="8"/>
      <c r="L133" s="2"/>
      <c r="M133" s="2"/>
      <c r="N133" s="2"/>
      <c r="O133" s="2"/>
    </row>
    <row r="134" spans="1:15" ht="26.25" customHeight="1" x14ac:dyDescent="0.25">
      <c r="A134" s="1"/>
      <c r="B134" s="1"/>
      <c r="C134" s="1"/>
      <c r="D134" s="63"/>
      <c r="E134" s="8"/>
      <c r="F134" s="8"/>
      <c r="G134" s="55"/>
      <c r="H134" s="8"/>
      <c r="I134" s="8"/>
      <c r="J134" s="8"/>
      <c r="K134" s="8"/>
      <c r="L134" s="2"/>
      <c r="M134" s="2"/>
      <c r="N134" s="2"/>
      <c r="O134" s="2"/>
    </row>
    <row r="135" spans="1:15" ht="26.25" customHeight="1" x14ac:dyDescent="0.25">
      <c r="A135" s="1"/>
      <c r="B135" s="1"/>
      <c r="C135" s="1"/>
      <c r="D135" s="63"/>
      <c r="E135" s="8"/>
      <c r="F135" s="8"/>
      <c r="G135" s="55"/>
      <c r="H135" s="8"/>
      <c r="I135" s="8"/>
      <c r="J135" s="8"/>
      <c r="K135" s="8"/>
      <c r="L135" s="8"/>
      <c r="M135" s="8"/>
      <c r="N135" s="8"/>
      <c r="O135" s="8"/>
    </row>
    <row r="136" spans="1:15" ht="26.25" customHeight="1" x14ac:dyDescent="0.25">
      <c r="A136" s="1"/>
      <c r="B136" s="1"/>
      <c r="C136" s="1"/>
      <c r="D136" s="63"/>
      <c r="E136" s="8"/>
      <c r="F136" s="8"/>
      <c r="G136" s="55"/>
      <c r="H136" s="8"/>
      <c r="I136" s="8"/>
      <c r="J136" s="8"/>
      <c r="K136" s="8"/>
      <c r="L136" s="8"/>
      <c r="M136" s="8"/>
      <c r="N136" s="8"/>
      <c r="O136" s="8"/>
    </row>
    <row r="137" spans="1:15" ht="26.25" customHeight="1" x14ac:dyDescent="0.25">
      <c r="A137" s="1"/>
      <c r="B137" s="1"/>
      <c r="C137" s="1"/>
      <c r="D137" s="63"/>
      <c r="E137" s="8"/>
      <c r="F137" s="8"/>
      <c r="G137" s="55"/>
      <c r="H137" s="8"/>
      <c r="I137" s="8"/>
      <c r="J137" s="8"/>
      <c r="K137" s="8"/>
      <c r="L137" s="8"/>
      <c r="M137" s="8"/>
      <c r="N137" s="8"/>
      <c r="O137" s="8"/>
    </row>
    <row r="138" spans="1:15" ht="26.25" customHeight="1" x14ac:dyDescent="0.25">
      <c r="A138" s="1"/>
      <c r="B138" s="1"/>
      <c r="C138" s="1"/>
      <c r="D138" s="63"/>
      <c r="E138" s="8"/>
      <c r="F138" s="8"/>
      <c r="G138" s="55"/>
      <c r="H138" s="8"/>
      <c r="I138" s="8"/>
      <c r="J138" s="8"/>
      <c r="K138" s="8"/>
      <c r="L138" s="8"/>
      <c r="M138" s="8"/>
      <c r="N138" s="8"/>
      <c r="O138" s="8"/>
    </row>
    <row r="139" spans="1:15" ht="26.25" customHeight="1" x14ac:dyDescent="0.25">
      <c r="A139" s="1"/>
      <c r="B139" s="1"/>
      <c r="C139" s="1"/>
      <c r="D139" s="63"/>
      <c r="E139" s="8"/>
      <c r="F139" s="8"/>
      <c r="G139" s="55"/>
      <c r="H139" s="8"/>
      <c r="I139" s="8"/>
      <c r="J139" s="8"/>
      <c r="K139" s="8"/>
      <c r="L139" s="2"/>
      <c r="M139" s="2"/>
      <c r="N139" s="2"/>
      <c r="O139" s="2"/>
    </row>
    <row r="140" spans="1:15" ht="26.25" customHeight="1" x14ac:dyDescent="0.25">
      <c r="A140" s="1"/>
      <c r="B140" s="1"/>
      <c r="C140" s="1"/>
      <c r="D140" s="63"/>
      <c r="E140" s="8"/>
      <c r="F140" s="8"/>
      <c r="G140" s="55"/>
      <c r="H140" s="8"/>
      <c r="I140" s="8"/>
      <c r="J140" s="8"/>
      <c r="K140" s="8"/>
      <c r="L140" s="2"/>
      <c r="M140" s="2"/>
      <c r="N140" s="2"/>
      <c r="O140" s="2"/>
    </row>
    <row r="141" spans="1:15" ht="26.25" customHeight="1" x14ac:dyDescent="0.25">
      <c r="A141" s="1"/>
      <c r="B141" s="1"/>
      <c r="C141" s="1"/>
      <c r="D141" s="63"/>
      <c r="E141" s="8"/>
      <c r="F141" s="8"/>
      <c r="G141" s="55"/>
      <c r="H141" s="8"/>
      <c r="I141" s="8"/>
      <c r="J141" s="8"/>
      <c r="K141" s="8"/>
      <c r="L141" s="8"/>
      <c r="M141" s="8"/>
      <c r="N141" s="8"/>
      <c r="O141" s="8"/>
    </row>
    <row r="142" spans="1:15" ht="26.25" customHeight="1" x14ac:dyDescent="0.25">
      <c r="A142" s="1"/>
      <c r="B142" s="1"/>
      <c r="C142" s="1"/>
      <c r="D142" s="63"/>
      <c r="E142" s="8"/>
      <c r="F142" s="8"/>
      <c r="G142" s="55"/>
      <c r="H142" s="8"/>
      <c r="I142" s="8"/>
      <c r="J142" s="8"/>
      <c r="K142" s="8"/>
      <c r="L142" s="8"/>
      <c r="M142" s="8"/>
      <c r="N142" s="8"/>
      <c r="O142" s="8"/>
    </row>
    <row r="143" spans="1:15" ht="26.25" customHeight="1" x14ac:dyDescent="0.25">
      <c r="A143" s="1"/>
      <c r="B143" s="1"/>
      <c r="C143" s="1"/>
      <c r="D143" s="63"/>
      <c r="E143" s="8"/>
      <c r="F143" s="8"/>
      <c r="G143" s="55"/>
      <c r="H143" s="8"/>
      <c r="I143" s="8"/>
      <c r="J143" s="8"/>
      <c r="K143" s="8"/>
      <c r="L143" s="8"/>
      <c r="M143" s="8"/>
      <c r="N143" s="8"/>
      <c r="O143" s="8"/>
    </row>
    <row r="144" spans="1:15" ht="26.25" customHeight="1" x14ac:dyDescent="0.25">
      <c r="A144" s="1"/>
      <c r="B144" s="1"/>
      <c r="C144" s="1"/>
      <c r="D144" s="63"/>
      <c r="E144" s="8"/>
      <c r="F144" s="8"/>
      <c r="G144" s="55"/>
      <c r="H144" s="8"/>
      <c r="I144" s="8"/>
      <c r="J144" s="8"/>
      <c r="K144" s="8"/>
      <c r="L144" s="8"/>
      <c r="M144" s="8"/>
      <c r="N144" s="8"/>
      <c r="O144" s="8"/>
    </row>
    <row r="145" spans="1:15" ht="26.25" customHeight="1" x14ac:dyDescent="0.25">
      <c r="A145" s="1"/>
      <c r="B145" s="1"/>
      <c r="C145" s="1"/>
      <c r="D145" s="63"/>
      <c r="E145" s="8"/>
      <c r="F145" s="8"/>
      <c r="G145" s="28"/>
      <c r="H145" s="8"/>
      <c r="I145" s="8"/>
      <c r="J145" s="8"/>
      <c r="K145" s="8"/>
      <c r="L145" s="2"/>
      <c r="M145" s="2"/>
      <c r="N145" s="2"/>
      <c r="O145" s="2"/>
    </row>
    <row r="146" spans="1:15" ht="26.25" customHeight="1" x14ac:dyDescent="0.25">
      <c r="A146" s="1"/>
      <c r="B146" s="1"/>
      <c r="C146" s="1"/>
      <c r="D146" s="63"/>
      <c r="E146" s="8"/>
      <c r="F146" s="8"/>
      <c r="G146" s="28"/>
      <c r="H146" s="8"/>
      <c r="I146" s="8"/>
      <c r="J146" s="8"/>
      <c r="K146" s="8"/>
      <c r="L146" s="2"/>
      <c r="M146" s="2"/>
      <c r="N146" s="2"/>
      <c r="O146" s="2"/>
    </row>
    <row r="147" spans="1:15" ht="26.25" customHeight="1" x14ac:dyDescent="0.25">
      <c r="A147" s="1"/>
      <c r="B147" s="1"/>
      <c r="C147" s="1"/>
      <c r="D147" s="63"/>
      <c r="E147" s="8"/>
      <c r="F147" s="8"/>
      <c r="G147" s="28"/>
      <c r="H147" s="8"/>
      <c r="I147" s="8"/>
      <c r="J147" s="8"/>
      <c r="K147" s="8"/>
      <c r="L147" s="8"/>
      <c r="M147" s="8"/>
      <c r="N147" s="8"/>
      <c r="O147" s="8"/>
    </row>
    <row r="148" spans="1:15" ht="26.25" customHeight="1" x14ac:dyDescent="0.25">
      <c r="A148" s="1"/>
      <c r="B148" s="1"/>
      <c r="C148" s="1"/>
      <c r="D148" s="63"/>
      <c r="E148" s="8"/>
      <c r="F148" s="8"/>
      <c r="G148" s="28"/>
      <c r="H148" s="8"/>
      <c r="I148" s="8"/>
      <c r="J148" s="8"/>
      <c r="K148" s="8"/>
      <c r="L148" s="8"/>
      <c r="M148" s="8"/>
      <c r="N148" s="8"/>
      <c r="O148" s="8"/>
    </row>
    <row r="149" spans="1:15" ht="26.25" customHeight="1" x14ac:dyDescent="0.25">
      <c r="A149" s="1"/>
      <c r="B149" s="1"/>
      <c r="C149" s="1"/>
      <c r="D149" s="63"/>
      <c r="E149" s="8"/>
      <c r="F149" s="8"/>
      <c r="G149" s="28"/>
      <c r="H149" s="8"/>
      <c r="I149" s="8"/>
      <c r="J149" s="8"/>
      <c r="K149" s="8"/>
      <c r="L149" s="8"/>
      <c r="M149" s="8"/>
      <c r="N149" s="8"/>
      <c r="O149" s="8"/>
    </row>
    <row r="150" spans="1:15" ht="26.25" customHeight="1" x14ac:dyDescent="0.25">
      <c r="A150" s="1"/>
      <c r="B150" s="1"/>
      <c r="C150" s="1"/>
      <c r="D150" s="63"/>
      <c r="E150" s="8"/>
      <c r="F150" s="8"/>
      <c r="G150" s="28"/>
      <c r="H150" s="8"/>
      <c r="I150" s="8"/>
      <c r="J150" s="8"/>
      <c r="K150" s="8"/>
      <c r="L150" s="8"/>
      <c r="M150" s="8"/>
      <c r="N150" s="8"/>
      <c r="O150" s="8"/>
    </row>
    <row r="151" spans="1:15" ht="26.25" customHeight="1" x14ac:dyDescent="0.25">
      <c r="A151" s="1"/>
      <c r="B151" s="1"/>
      <c r="C151" s="1"/>
      <c r="D151" s="63"/>
      <c r="E151" s="8"/>
      <c r="F151" s="8"/>
      <c r="G151" s="28"/>
      <c r="H151" s="8"/>
      <c r="I151" s="8"/>
      <c r="J151" s="8"/>
      <c r="K151" s="8"/>
      <c r="L151" s="2"/>
      <c r="M151" s="2"/>
      <c r="N151" s="2"/>
      <c r="O151" s="2"/>
    </row>
    <row r="152" spans="1:15" ht="26.25" customHeight="1" x14ac:dyDescent="0.25">
      <c r="A152" s="1"/>
      <c r="B152" s="1"/>
      <c r="C152" s="1"/>
      <c r="D152" s="63"/>
      <c r="E152" s="8"/>
      <c r="F152" s="8"/>
      <c r="G152" s="28"/>
      <c r="H152" s="8"/>
      <c r="I152" s="8"/>
      <c r="J152" s="8"/>
      <c r="K152" s="8"/>
      <c r="L152" s="2"/>
      <c r="M152" s="2"/>
      <c r="N152" s="2"/>
      <c r="O152" s="2"/>
    </row>
    <row r="153" spans="1:15" ht="26.25" customHeight="1" x14ac:dyDescent="0.25">
      <c r="A153" s="1"/>
      <c r="B153" s="1"/>
      <c r="C153" s="1"/>
      <c r="D153" s="63"/>
      <c r="E153" s="8"/>
      <c r="F153" s="8"/>
      <c r="G153" s="28"/>
      <c r="H153" s="8"/>
      <c r="I153" s="8"/>
      <c r="J153" s="8"/>
      <c r="K153" s="8"/>
      <c r="L153" s="8"/>
      <c r="M153" s="8"/>
      <c r="N153" s="8"/>
      <c r="O153" s="8"/>
    </row>
    <row r="154" spans="1:15" ht="26.25" customHeight="1" x14ac:dyDescent="0.25">
      <c r="A154" s="1"/>
      <c r="B154" s="1"/>
      <c r="C154" s="1"/>
      <c r="D154" s="63"/>
      <c r="E154" s="8"/>
      <c r="F154" s="8"/>
      <c r="G154" s="28"/>
      <c r="H154" s="8"/>
      <c r="I154" s="8"/>
      <c r="J154" s="8"/>
      <c r="K154" s="8"/>
      <c r="L154" s="8"/>
      <c r="M154" s="8"/>
      <c r="N154" s="8"/>
      <c r="O154" s="8"/>
    </row>
    <row r="155" spans="1:15" ht="26.25" customHeight="1" x14ac:dyDescent="0.25">
      <c r="A155" s="1"/>
      <c r="B155" s="1"/>
      <c r="C155" s="1"/>
      <c r="D155" s="63"/>
      <c r="E155" s="8"/>
      <c r="F155" s="8"/>
      <c r="G155" s="28"/>
      <c r="H155" s="8"/>
      <c r="I155" s="8"/>
      <c r="J155" s="8"/>
      <c r="K155" s="8"/>
      <c r="L155" s="8"/>
      <c r="M155" s="8"/>
      <c r="N155" s="8"/>
      <c r="O155" s="8"/>
    </row>
    <row r="156" spans="1:15" ht="26.25" customHeight="1" x14ac:dyDescent="0.25">
      <c r="A156" s="1"/>
      <c r="B156" s="1"/>
      <c r="C156" s="1"/>
      <c r="D156" s="63"/>
      <c r="E156" s="8"/>
      <c r="F156" s="8"/>
      <c r="G156" s="28"/>
      <c r="H156" s="8"/>
      <c r="I156" s="8"/>
      <c r="J156" s="8"/>
      <c r="K156" s="8"/>
      <c r="L156" s="8"/>
      <c r="M156" s="8"/>
      <c r="N156" s="8"/>
      <c r="O156" s="8"/>
    </row>
    <row r="157" spans="1:15" ht="26.25" customHeight="1" x14ac:dyDescent="0.25">
      <c r="A157" s="1"/>
      <c r="B157" s="1"/>
      <c r="C157" s="1"/>
      <c r="D157" s="63"/>
      <c r="E157" s="8"/>
      <c r="F157" s="8"/>
      <c r="G157" s="28"/>
      <c r="H157" s="8"/>
      <c r="I157" s="8"/>
      <c r="J157" s="8"/>
      <c r="K157" s="8"/>
      <c r="L157" s="2"/>
      <c r="M157" s="2"/>
      <c r="N157" s="2"/>
      <c r="O157" s="2"/>
    </row>
    <row r="158" spans="1:15" ht="26.25" customHeight="1" x14ac:dyDescent="0.25">
      <c r="A158" s="1"/>
      <c r="B158" s="1"/>
      <c r="C158" s="1"/>
      <c r="D158" s="63"/>
      <c r="E158" s="8"/>
      <c r="F158" s="8"/>
      <c r="G158" s="28"/>
      <c r="H158" s="8"/>
      <c r="I158" s="8"/>
      <c r="J158" s="8"/>
      <c r="K158" s="8"/>
      <c r="L158" s="2"/>
      <c r="M158" s="2"/>
      <c r="N158" s="2"/>
      <c r="O158" s="2"/>
    </row>
    <row r="159" spans="1:15" ht="26.25" customHeight="1" x14ac:dyDescent="0.25">
      <c r="A159" s="1"/>
      <c r="B159" s="1"/>
      <c r="C159" s="1"/>
      <c r="D159" s="63"/>
      <c r="E159" s="8"/>
      <c r="F159" s="8"/>
      <c r="G159" s="28"/>
      <c r="H159" s="8"/>
      <c r="I159" s="8"/>
      <c r="J159" s="8"/>
      <c r="K159" s="8"/>
      <c r="L159" s="8"/>
      <c r="M159" s="8"/>
      <c r="N159" s="8"/>
      <c r="O159" s="8"/>
    </row>
    <row r="160" spans="1:15" ht="26.25" customHeight="1" x14ac:dyDescent="0.25">
      <c r="A160" s="1"/>
      <c r="B160" s="1"/>
      <c r="C160" s="1"/>
      <c r="D160" s="63"/>
      <c r="E160" s="8"/>
      <c r="F160" s="8"/>
      <c r="G160" s="28"/>
      <c r="H160" s="8"/>
      <c r="I160" s="8"/>
      <c r="J160" s="8"/>
      <c r="K160" s="8"/>
      <c r="L160" s="8"/>
      <c r="M160" s="8"/>
      <c r="N160" s="8"/>
      <c r="O160" s="8"/>
    </row>
    <row r="161" spans="1:15" ht="26.25" customHeight="1" x14ac:dyDescent="0.25">
      <c r="A161" s="1"/>
      <c r="B161" s="1"/>
      <c r="C161" s="1"/>
      <c r="D161" s="63"/>
      <c r="E161" s="8"/>
      <c r="F161" s="8"/>
      <c r="G161" s="28"/>
      <c r="H161" s="8"/>
      <c r="I161" s="8"/>
      <c r="J161" s="8"/>
      <c r="K161" s="8"/>
      <c r="L161" s="8"/>
      <c r="M161" s="8"/>
      <c r="N161" s="8"/>
      <c r="O161" s="8"/>
    </row>
    <row r="162" spans="1:15" ht="26.25" customHeight="1" x14ac:dyDescent="0.25">
      <c r="A162" s="1"/>
      <c r="B162" s="1"/>
      <c r="C162" s="1"/>
      <c r="D162" s="63"/>
      <c r="E162" s="8"/>
      <c r="F162" s="8"/>
      <c r="G162" s="28"/>
      <c r="H162" s="8"/>
      <c r="I162" s="8"/>
      <c r="J162" s="8"/>
      <c r="K162" s="8"/>
      <c r="L162" s="8"/>
      <c r="M162" s="8"/>
      <c r="N162" s="8"/>
      <c r="O162" s="8"/>
    </row>
    <row r="163" spans="1:15" ht="26.25" customHeight="1" x14ac:dyDescent="0.25">
      <c r="A163" s="1"/>
      <c r="B163" s="1"/>
      <c r="C163" s="1"/>
      <c r="D163" s="63"/>
      <c r="E163" s="8"/>
      <c r="F163" s="8"/>
      <c r="G163" s="28"/>
      <c r="H163" s="8"/>
      <c r="I163" s="8"/>
      <c r="J163" s="8"/>
      <c r="K163" s="8"/>
      <c r="L163" s="2"/>
      <c r="M163" s="2"/>
      <c r="N163" s="2"/>
      <c r="O163" s="2"/>
    </row>
    <row r="164" spans="1:15" ht="26.25" customHeight="1" x14ac:dyDescent="0.25">
      <c r="A164" s="1"/>
      <c r="B164" s="1"/>
      <c r="C164" s="1"/>
      <c r="D164" s="63"/>
      <c r="E164" s="8"/>
      <c r="F164" s="8"/>
      <c r="G164" s="28"/>
      <c r="H164" s="8"/>
      <c r="I164" s="8"/>
      <c r="J164" s="8"/>
      <c r="K164" s="8"/>
      <c r="L164" s="2"/>
      <c r="M164" s="2"/>
      <c r="N164" s="2"/>
      <c r="O164" s="2"/>
    </row>
    <row r="165" spans="1:15" ht="26.25" customHeight="1" x14ac:dyDescent="0.25">
      <c r="A165" s="1"/>
      <c r="B165" s="1"/>
      <c r="C165" s="1"/>
      <c r="D165" s="8"/>
      <c r="E165" s="8"/>
      <c r="F165" s="8"/>
      <c r="G165" s="28"/>
      <c r="H165" s="8"/>
      <c r="I165" s="8"/>
      <c r="J165" s="8"/>
      <c r="K165" s="8"/>
      <c r="L165" s="8"/>
      <c r="M165" s="8"/>
      <c r="N165" s="8"/>
      <c r="O165" s="8"/>
    </row>
    <row r="166" spans="1:15" ht="26.25" customHeight="1" x14ac:dyDescent="0.25">
      <c r="A166" s="1"/>
      <c r="B166" s="1"/>
      <c r="C166" s="1"/>
      <c r="D166" s="8"/>
      <c r="E166" s="8"/>
      <c r="F166" s="8"/>
      <c r="G166" s="28"/>
      <c r="H166" s="8"/>
      <c r="I166" s="8"/>
      <c r="J166" s="8"/>
      <c r="K166" s="8"/>
      <c r="L166" s="8"/>
      <c r="M166" s="8"/>
      <c r="N166" s="8"/>
      <c r="O166" s="8"/>
    </row>
    <row r="167" spans="1:15" ht="26.25" customHeight="1" x14ac:dyDescent="0.25">
      <c r="A167" s="1"/>
      <c r="B167" s="1"/>
      <c r="C167" s="1"/>
      <c r="D167" s="8"/>
      <c r="E167" s="8"/>
      <c r="F167" s="8"/>
      <c r="G167" s="28"/>
      <c r="H167" s="8"/>
      <c r="I167" s="8"/>
      <c r="J167" s="8"/>
      <c r="K167" s="8"/>
      <c r="L167" s="8"/>
      <c r="M167" s="8"/>
      <c r="N167" s="8"/>
      <c r="O167" s="8"/>
    </row>
    <row r="168" spans="1:15" ht="26.25" customHeight="1" x14ac:dyDescent="0.25">
      <c r="A168" s="1"/>
      <c r="B168" s="1"/>
      <c r="C168" s="1"/>
      <c r="D168" s="8"/>
      <c r="E168" s="8"/>
      <c r="F168" s="8"/>
      <c r="G168" s="28"/>
      <c r="H168" s="8"/>
      <c r="I168" s="8"/>
      <c r="J168" s="8"/>
      <c r="K168" s="8"/>
      <c r="L168" s="8"/>
      <c r="M168" s="8"/>
      <c r="N168" s="8"/>
      <c r="O168" s="8"/>
    </row>
    <row r="169" spans="1:15" ht="26.25" customHeight="1" x14ac:dyDescent="0.25">
      <c r="A169" s="1"/>
      <c r="B169" s="1"/>
      <c r="C169" s="1"/>
      <c r="D169" s="8"/>
      <c r="E169" s="8"/>
      <c r="F169" s="8"/>
      <c r="G169" s="28"/>
      <c r="H169" s="8"/>
      <c r="I169" s="8"/>
      <c r="J169" s="8"/>
      <c r="K169" s="8"/>
      <c r="L169" s="2"/>
      <c r="M169" s="2"/>
      <c r="N169" s="2"/>
      <c r="O169" s="2"/>
    </row>
    <row r="170" spans="1:15" ht="26.25" customHeight="1" x14ac:dyDescent="0.25">
      <c r="A170" s="1"/>
      <c r="B170" s="1"/>
      <c r="C170" s="1"/>
      <c r="D170" s="8"/>
      <c r="E170" s="8"/>
      <c r="F170" s="8"/>
      <c r="G170" s="28"/>
      <c r="H170" s="8"/>
      <c r="I170" s="8"/>
      <c r="J170" s="8"/>
      <c r="K170" s="8"/>
      <c r="L170" s="2"/>
      <c r="M170" s="2"/>
      <c r="N170" s="2"/>
      <c r="O170" s="2"/>
    </row>
    <row r="171" spans="1:15" ht="26.25" customHeight="1" x14ac:dyDescent="0.25">
      <c r="A171" s="1"/>
      <c r="B171" s="1"/>
      <c r="C171" s="1"/>
      <c r="D171" s="8"/>
      <c r="E171" s="8"/>
      <c r="F171" s="8"/>
      <c r="G171" s="28"/>
      <c r="H171" s="8"/>
      <c r="I171" s="8"/>
      <c r="J171" s="8"/>
      <c r="K171" s="8"/>
      <c r="L171" s="8"/>
      <c r="M171" s="8"/>
      <c r="N171" s="8"/>
      <c r="O171" s="8"/>
    </row>
    <row r="172" spans="1:15" ht="26.25" customHeight="1" x14ac:dyDescent="0.25">
      <c r="A172" s="1"/>
      <c r="B172" s="1"/>
      <c r="C172" s="1"/>
      <c r="D172" s="8"/>
      <c r="E172" s="8"/>
      <c r="F172" s="8"/>
      <c r="G172" s="28"/>
      <c r="H172" s="8"/>
      <c r="I172" s="8"/>
      <c r="J172" s="8"/>
      <c r="K172" s="8"/>
      <c r="L172" s="8"/>
      <c r="M172" s="8"/>
      <c r="N172" s="8"/>
      <c r="O172" s="8"/>
    </row>
    <row r="173" spans="1:15" ht="26.25" customHeight="1" x14ac:dyDescent="0.25">
      <c r="A173" s="1"/>
      <c r="B173" s="1"/>
      <c r="C173" s="1"/>
      <c r="D173" s="8"/>
      <c r="E173" s="8"/>
      <c r="F173" s="8"/>
      <c r="G173" s="28"/>
      <c r="H173" s="8"/>
      <c r="I173" s="8"/>
      <c r="J173" s="8"/>
      <c r="K173" s="8"/>
      <c r="L173" s="8"/>
      <c r="M173" s="8"/>
      <c r="N173" s="8"/>
      <c r="O173" s="8"/>
    </row>
    <row r="174" spans="1:15" ht="26.25" customHeight="1" x14ac:dyDescent="0.25">
      <c r="A174" s="1"/>
      <c r="B174" s="1"/>
      <c r="C174" s="1"/>
      <c r="D174" s="8"/>
      <c r="E174" s="8"/>
      <c r="F174" s="8"/>
      <c r="G174" s="28"/>
      <c r="H174" s="8"/>
      <c r="I174" s="8"/>
      <c r="J174" s="8"/>
      <c r="K174" s="8"/>
      <c r="L174" s="8"/>
      <c r="M174" s="8"/>
      <c r="N174" s="8"/>
      <c r="O174" s="8"/>
    </row>
    <row r="175" spans="1:15" ht="26.25" customHeight="1" x14ac:dyDescent="0.25">
      <c r="A175" s="1"/>
      <c r="B175" s="1"/>
      <c r="C175" s="1"/>
      <c r="D175" s="8"/>
      <c r="E175" s="8"/>
      <c r="F175" s="8"/>
      <c r="G175" s="28"/>
      <c r="H175" s="8"/>
      <c r="I175" s="8"/>
      <c r="J175" s="8"/>
      <c r="K175" s="8"/>
      <c r="L175" s="2"/>
      <c r="M175" s="2"/>
      <c r="N175" s="2"/>
      <c r="O175" s="2"/>
    </row>
    <row r="176" spans="1:15" ht="26.25" customHeight="1" x14ac:dyDescent="0.25">
      <c r="A176" s="1"/>
      <c r="B176" s="1"/>
      <c r="C176" s="1"/>
      <c r="D176" s="8"/>
      <c r="E176" s="8"/>
      <c r="F176" s="8"/>
      <c r="G176" s="28"/>
      <c r="H176" s="8"/>
      <c r="I176" s="8"/>
      <c r="J176" s="8"/>
      <c r="K176" s="8"/>
      <c r="L176" s="2"/>
      <c r="M176" s="2"/>
      <c r="N176" s="2"/>
      <c r="O176" s="2"/>
    </row>
    <row r="177" spans="1:15" ht="26.25" customHeight="1" x14ac:dyDescent="0.25">
      <c r="A177" s="1"/>
      <c r="B177" s="1"/>
      <c r="C177" s="1"/>
      <c r="D177" s="8"/>
      <c r="E177" s="8"/>
      <c r="F177" s="8"/>
      <c r="G177" s="28"/>
      <c r="H177" s="8"/>
      <c r="I177" s="8"/>
      <c r="J177" s="8"/>
      <c r="K177" s="8"/>
      <c r="L177" s="8"/>
      <c r="M177" s="8"/>
      <c r="N177" s="8"/>
      <c r="O177" s="8"/>
    </row>
    <row r="178" spans="1:15" ht="26.25" customHeight="1" x14ac:dyDescent="0.25">
      <c r="A178" s="1"/>
      <c r="B178" s="1"/>
      <c r="C178" s="1"/>
      <c r="D178" s="8"/>
      <c r="E178" s="8"/>
      <c r="F178" s="8"/>
      <c r="G178" s="28"/>
      <c r="H178" s="8"/>
      <c r="I178" s="8"/>
      <c r="J178" s="8"/>
      <c r="K178" s="8"/>
      <c r="L178" s="8"/>
      <c r="M178" s="8"/>
      <c r="N178" s="8"/>
      <c r="O178" s="8"/>
    </row>
    <row r="179" spans="1:15" ht="26.25" customHeight="1" x14ac:dyDescent="0.25">
      <c r="A179" s="1"/>
      <c r="B179" s="1"/>
      <c r="C179" s="1"/>
      <c r="D179" s="8"/>
      <c r="E179" s="8"/>
      <c r="F179" s="8"/>
      <c r="G179" s="28"/>
      <c r="H179" s="8"/>
      <c r="I179" s="8"/>
      <c r="J179" s="8"/>
      <c r="K179" s="8"/>
      <c r="L179" s="8"/>
      <c r="M179" s="8"/>
      <c r="N179" s="8"/>
      <c r="O179" s="8"/>
    </row>
    <row r="180" spans="1:15" ht="26.25" customHeight="1" x14ac:dyDescent="0.25">
      <c r="A180" s="1"/>
      <c r="B180" s="1"/>
      <c r="C180" s="1"/>
      <c r="D180" s="8"/>
      <c r="E180" s="8"/>
      <c r="F180" s="8"/>
      <c r="G180" s="28"/>
      <c r="H180" s="8"/>
      <c r="I180" s="8"/>
      <c r="J180" s="8"/>
      <c r="K180" s="8"/>
      <c r="L180" s="8"/>
      <c r="M180" s="8"/>
      <c r="N180" s="8"/>
      <c r="O180" s="8"/>
    </row>
    <row r="181" spans="1:15" ht="26.25" customHeight="1" x14ac:dyDescent="0.25">
      <c r="A181" s="1"/>
      <c r="B181" s="1"/>
      <c r="C181" s="1"/>
      <c r="D181" s="8"/>
      <c r="E181" s="8"/>
      <c r="F181" s="8"/>
      <c r="G181" s="28"/>
      <c r="H181" s="8"/>
      <c r="I181" s="8"/>
      <c r="J181" s="8"/>
      <c r="K181" s="8"/>
      <c r="L181" s="2"/>
      <c r="M181" s="2"/>
      <c r="N181" s="2"/>
      <c r="O181" s="2"/>
    </row>
    <row r="182" spans="1:15" ht="26.25" customHeight="1" x14ac:dyDescent="0.25">
      <c r="A182" s="1"/>
      <c r="B182" s="1"/>
      <c r="C182" s="1"/>
      <c r="D182" s="8"/>
      <c r="E182" s="8"/>
      <c r="F182" s="8"/>
      <c r="G182" s="28"/>
      <c r="H182" s="8"/>
      <c r="I182" s="8"/>
      <c r="J182" s="8"/>
      <c r="K182" s="8"/>
      <c r="L182" s="2"/>
      <c r="M182" s="2"/>
      <c r="N182" s="2"/>
      <c r="O182" s="2"/>
    </row>
    <row r="183" spans="1:15" ht="26.25" customHeight="1" x14ac:dyDescent="0.25">
      <c r="A183" s="1"/>
      <c r="B183" s="1"/>
      <c r="C183" s="1"/>
      <c r="D183" s="8"/>
      <c r="E183" s="8"/>
      <c r="F183" s="8"/>
      <c r="G183" s="28"/>
      <c r="H183" s="8"/>
      <c r="I183" s="8"/>
      <c r="J183" s="8"/>
      <c r="K183" s="8"/>
      <c r="L183" s="8"/>
      <c r="M183" s="8"/>
      <c r="N183" s="8"/>
      <c r="O183" s="8"/>
    </row>
    <row r="184" spans="1:15" ht="26.25" customHeight="1" x14ac:dyDescent="0.25">
      <c r="A184" s="1"/>
      <c r="B184" s="1"/>
      <c r="C184" s="1"/>
      <c r="D184" s="8"/>
      <c r="E184" s="8"/>
      <c r="F184" s="8"/>
      <c r="G184" s="28"/>
      <c r="H184" s="8"/>
      <c r="I184" s="8"/>
      <c r="J184" s="8"/>
      <c r="K184" s="8"/>
      <c r="L184" s="8"/>
      <c r="M184" s="8"/>
      <c r="N184" s="8"/>
      <c r="O184" s="8"/>
    </row>
    <row r="185" spans="1:15" ht="26.25" customHeight="1" x14ac:dyDescent="0.25">
      <c r="A185" s="1"/>
      <c r="B185" s="1"/>
      <c r="C185" s="1"/>
      <c r="D185" s="8"/>
      <c r="E185" s="8"/>
      <c r="F185" s="8"/>
      <c r="G185" s="28"/>
      <c r="H185" s="8"/>
      <c r="I185" s="8"/>
      <c r="J185" s="8"/>
      <c r="K185" s="8"/>
      <c r="L185" s="8"/>
      <c r="M185" s="8"/>
      <c r="N185" s="8"/>
      <c r="O185" s="8"/>
    </row>
    <row r="186" spans="1:15" ht="26.25" customHeight="1" x14ac:dyDescent="0.25">
      <c r="A186" s="1"/>
      <c r="B186" s="1"/>
      <c r="C186" s="1"/>
      <c r="D186" s="8"/>
      <c r="E186" s="8"/>
      <c r="F186" s="8"/>
      <c r="G186" s="28"/>
      <c r="H186" s="8"/>
      <c r="I186" s="8"/>
      <c r="J186" s="8"/>
      <c r="K186" s="8"/>
      <c r="L186" s="8"/>
      <c r="M186" s="8"/>
      <c r="N186" s="8"/>
      <c r="O186" s="8"/>
    </row>
    <row r="187" spans="1:15" ht="26.25" customHeight="1" x14ac:dyDescent="0.25">
      <c r="A187" s="1"/>
      <c r="B187" s="1"/>
      <c r="C187" s="1"/>
      <c r="D187" s="8"/>
      <c r="E187" s="8"/>
      <c r="F187" s="8"/>
      <c r="G187" s="28"/>
      <c r="H187" s="8"/>
      <c r="I187" s="8"/>
      <c r="J187" s="8"/>
      <c r="K187" s="8"/>
      <c r="L187" s="2"/>
      <c r="M187" s="2"/>
      <c r="N187" s="2"/>
      <c r="O187" s="2"/>
    </row>
    <row r="188" spans="1:15" ht="26.25" customHeight="1" x14ac:dyDescent="0.25">
      <c r="A188" s="1"/>
      <c r="B188" s="1"/>
      <c r="C188" s="1"/>
      <c r="D188" s="8"/>
      <c r="E188" s="8"/>
      <c r="F188" s="8"/>
      <c r="G188" s="28"/>
      <c r="H188" s="8"/>
      <c r="I188" s="8"/>
      <c r="J188" s="8"/>
      <c r="K188" s="8"/>
      <c r="L188" s="2"/>
      <c r="M188" s="2"/>
      <c r="N188" s="2"/>
      <c r="O188" s="2"/>
    </row>
    <row r="189" spans="1:15" ht="26.25" customHeight="1" x14ac:dyDescent="0.25">
      <c r="A189" s="1"/>
      <c r="B189" s="1"/>
      <c r="C189" s="1"/>
      <c r="D189" s="8"/>
      <c r="E189" s="8"/>
      <c r="F189" s="8"/>
      <c r="G189" s="28"/>
      <c r="H189" s="8"/>
      <c r="I189" s="8"/>
      <c r="J189" s="8"/>
      <c r="K189" s="8"/>
      <c r="L189" s="8"/>
      <c r="M189" s="8"/>
      <c r="N189" s="8"/>
      <c r="O189" s="8"/>
    </row>
    <row r="190" spans="1:15" ht="26.25" customHeight="1" x14ac:dyDescent="0.25">
      <c r="A190" s="1"/>
      <c r="B190" s="1"/>
      <c r="C190" s="1"/>
      <c r="D190" s="8"/>
      <c r="E190" s="8"/>
      <c r="F190" s="8"/>
      <c r="G190" s="28"/>
      <c r="H190" s="8"/>
      <c r="I190" s="8"/>
      <c r="J190" s="8"/>
      <c r="K190" s="8"/>
      <c r="L190" s="8"/>
      <c r="M190" s="8"/>
      <c r="N190" s="8"/>
      <c r="O190" s="8"/>
    </row>
    <row r="191" spans="1:15" ht="26.25" customHeight="1" x14ac:dyDescent="0.25">
      <c r="A191" s="1"/>
      <c r="B191" s="1"/>
      <c r="C191" s="1"/>
      <c r="D191" s="8"/>
      <c r="E191" s="8"/>
      <c r="F191" s="8"/>
      <c r="G191" s="28"/>
      <c r="H191" s="8"/>
      <c r="I191" s="8"/>
      <c r="J191" s="8"/>
      <c r="K191" s="8"/>
      <c r="L191" s="8"/>
      <c r="M191" s="8"/>
      <c r="N191" s="8"/>
      <c r="O191" s="8"/>
    </row>
    <row r="192" spans="1:15" ht="26.25" customHeight="1" x14ac:dyDescent="0.25">
      <c r="A192" s="1"/>
      <c r="B192" s="1"/>
      <c r="C192" s="1"/>
      <c r="D192" s="8"/>
      <c r="E192" s="8"/>
      <c r="F192" s="8"/>
      <c r="G192" s="28"/>
      <c r="H192" s="8"/>
      <c r="I192" s="8"/>
      <c r="J192" s="8"/>
      <c r="K192" s="8"/>
      <c r="L192" s="8"/>
      <c r="M192" s="8"/>
      <c r="N192" s="8"/>
      <c r="O192" s="8"/>
    </row>
    <row r="193" spans="1:15" ht="26.25" customHeight="1" x14ac:dyDescent="0.25">
      <c r="A193" s="1"/>
      <c r="B193" s="1"/>
      <c r="C193" s="1"/>
      <c r="D193" s="8"/>
      <c r="E193" s="8"/>
      <c r="F193" s="8"/>
      <c r="G193" s="28"/>
      <c r="H193" s="8"/>
      <c r="I193" s="8"/>
      <c r="J193" s="8"/>
      <c r="K193" s="8"/>
      <c r="L193" s="2"/>
      <c r="M193" s="2"/>
      <c r="N193" s="2"/>
      <c r="O193" s="2"/>
    </row>
    <row r="194" spans="1:15" ht="26.25" customHeight="1" x14ac:dyDescent="0.25">
      <c r="A194" s="1"/>
      <c r="B194" s="1"/>
      <c r="C194" s="1"/>
      <c r="D194" s="8"/>
      <c r="E194" s="8"/>
      <c r="F194" s="8"/>
      <c r="G194" s="28"/>
      <c r="H194" s="8"/>
      <c r="I194" s="8"/>
      <c r="J194" s="8"/>
      <c r="K194" s="8"/>
      <c r="L194" s="2"/>
      <c r="M194" s="2"/>
      <c r="N194" s="2"/>
      <c r="O194" s="2"/>
    </row>
    <row r="195" spans="1:15" ht="26.25" customHeight="1" x14ac:dyDescent="0.25">
      <c r="A195" s="1"/>
      <c r="B195" s="1"/>
      <c r="C195" s="1"/>
      <c r="D195" s="8"/>
      <c r="E195" s="8"/>
      <c r="F195" s="8"/>
      <c r="G195" s="28"/>
      <c r="H195" s="8"/>
      <c r="I195" s="8"/>
      <c r="J195" s="8"/>
      <c r="K195" s="8"/>
      <c r="L195" s="8"/>
      <c r="M195" s="8"/>
      <c r="N195" s="8"/>
      <c r="O195" s="8"/>
    </row>
    <row r="196" spans="1:15" ht="26.25" customHeight="1" x14ac:dyDescent="0.25">
      <c r="A196" s="1"/>
      <c r="B196" s="1"/>
      <c r="C196" s="1"/>
      <c r="D196" s="8"/>
      <c r="E196" s="8"/>
      <c r="F196" s="8"/>
      <c r="G196" s="28"/>
      <c r="H196" s="8"/>
      <c r="I196" s="8"/>
      <c r="J196" s="8"/>
      <c r="K196" s="8"/>
      <c r="L196" s="8"/>
      <c r="M196" s="8"/>
      <c r="N196" s="8"/>
      <c r="O196" s="8"/>
    </row>
    <row r="197" spans="1:15" ht="26.25" customHeight="1" x14ac:dyDescent="0.25">
      <c r="A197" s="1"/>
      <c r="B197" s="1"/>
      <c r="C197" s="1"/>
      <c r="D197" s="8"/>
      <c r="E197" s="8"/>
      <c r="F197" s="8"/>
      <c r="G197" s="28"/>
      <c r="H197" s="8"/>
      <c r="I197" s="8"/>
      <c r="J197" s="8"/>
      <c r="K197" s="8"/>
      <c r="L197" s="8"/>
      <c r="M197" s="8"/>
      <c r="N197" s="8"/>
      <c r="O197" s="8"/>
    </row>
    <row r="198" spans="1:15" ht="26.25" customHeight="1" x14ac:dyDescent="0.25">
      <c r="A198" s="1"/>
      <c r="B198" s="1"/>
      <c r="C198" s="1"/>
      <c r="D198" s="8"/>
      <c r="E198" s="8"/>
      <c r="F198" s="8"/>
      <c r="G198" s="28"/>
      <c r="H198" s="8"/>
      <c r="I198" s="8"/>
      <c r="J198" s="8"/>
      <c r="K198" s="8"/>
      <c r="L198" s="8"/>
      <c r="M198" s="8"/>
      <c r="N198" s="8"/>
      <c r="O198" s="8"/>
    </row>
    <row r="199" spans="1:15" ht="26.25" customHeight="1" x14ac:dyDescent="0.25">
      <c r="A199" s="1"/>
      <c r="B199" s="1"/>
      <c r="C199" s="1"/>
      <c r="D199" s="8"/>
      <c r="E199" s="8"/>
      <c r="F199" s="8"/>
      <c r="G199" s="28"/>
      <c r="H199" s="8"/>
      <c r="I199" s="8"/>
      <c r="J199" s="8"/>
      <c r="K199" s="8"/>
      <c r="L199" s="2"/>
      <c r="M199" s="2"/>
      <c r="N199" s="2"/>
      <c r="O199" s="2"/>
    </row>
    <row r="200" spans="1:15" ht="26.25" customHeight="1" x14ac:dyDescent="0.25">
      <c r="A200" s="1"/>
      <c r="B200" s="1"/>
      <c r="C200" s="1"/>
      <c r="D200" s="8"/>
      <c r="E200" s="8"/>
      <c r="F200" s="8"/>
      <c r="G200" s="28"/>
      <c r="H200" s="8"/>
      <c r="I200" s="8"/>
      <c r="J200" s="8"/>
      <c r="K200" s="8"/>
      <c r="L200" s="2"/>
      <c r="M200" s="2"/>
      <c r="N200" s="2"/>
      <c r="O200" s="2"/>
    </row>
    <row r="201" spans="1:15" ht="26.25" customHeight="1" x14ac:dyDescent="0.25">
      <c r="A201" s="1"/>
      <c r="B201" s="1"/>
      <c r="C201" s="1"/>
      <c r="D201" s="8"/>
      <c r="E201" s="8"/>
      <c r="F201" s="8"/>
      <c r="G201" s="28"/>
      <c r="H201" s="8"/>
      <c r="I201" s="8"/>
      <c r="J201" s="8"/>
      <c r="K201" s="8"/>
      <c r="L201" s="8"/>
      <c r="M201" s="8"/>
      <c r="N201" s="8"/>
      <c r="O201" s="8"/>
    </row>
    <row r="202" spans="1:15" ht="26.25" customHeight="1" x14ac:dyDescent="0.25">
      <c r="A202" s="1"/>
      <c r="B202" s="1"/>
      <c r="C202" s="1"/>
      <c r="D202" s="8"/>
      <c r="E202" s="8"/>
      <c r="F202" s="8"/>
      <c r="G202" s="28"/>
      <c r="H202" s="8"/>
      <c r="I202" s="8"/>
      <c r="J202" s="8"/>
      <c r="K202" s="8"/>
      <c r="L202" s="8"/>
      <c r="M202" s="8"/>
      <c r="N202" s="8"/>
      <c r="O202" s="8"/>
    </row>
    <row r="203" spans="1:15" ht="26.25" customHeight="1" x14ac:dyDescent="0.25">
      <c r="A203" s="1"/>
      <c r="B203" s="1"/>
      <c r="C203" s="1"/>
      <c r="D203" s="8"/>
      <c r="E203" s="8"/>
      <c r="F203" s="8"/>
      <c r="G203" s="28"/>
      <c r="H203" s="8"/>
      <c r="I203" s="8"/>
      <c r="J203" s="8"/>
      <c r="K203" s="8"/>
      <c r="L203" s="8"/>
      <c r="M203" s="8"/>
      <c r="N203" s="8"/>
      <c r="O203" s="8"/>
    </row>
    <row r="204" spans="1:15" ht="26.25" customHeight="1" x14ac:dyDescent="0.25">
      <c r="A204" s="1"/>
      <c r="B204" s="1"/>
      <c r="C204" s="1"/>
      <c r="D204" s="8"/>
      <c r="E204" s="8"/>
      <c r="F204" s="8"/>
      <c r="G204" s="28"/>
      <c r="H204" s="8"/>
      <c r="I204" s="8"/>
      <c r="J204" s="8"/>
      <c r="K204" s="8"/>
      <c r="L204" s="8"/>
      <c r="M204" s="8"/>
      <c r="N204" s="8"/>
      <c r="O204" s="8"/>
    </row>
    <row r="205" spans="1:15" ht="26.25" customHeight="1" x14ac:dyDescent="0.25">
      <c r="A205" s="1"/>
      <c r="B205" s="1"/>
      <c r="C205" s="1"/>
      <c r="D205" s="8"/>
      <c r="E205" s="8"/>
      <c r="F205" s="8"/>
      <c r="G205" s="28"/>
      <c r="H205" s="8"/>
      <c r="I205" s="8"/>
      <c r="J205" s="8"/>
      <c r="K205" s="8"/>
      <c r="L205" s="2"/>
      <c r="M205" s="2"/>
      <c r="N205" s="2"/>
      <c r="O205" s="2"/>
    </row>
    <row r="206" spans="1:15" ht="26.25" customHeight="1" x14ac:dyDescent="0.25">
      <c r="A206" s="1"/>
      <c r="B206" s="1"/>
      <c r="C206" s="1"/>
      <c r="D206" s="8"/>
      <c r="E206" s="8"/>
      <c r="F206" s="8"/>
      <c r="G206" s="28"/>
      <c r="H206" s="8"/>
      <c r="I206" s="8"/>
      <c r="J206" s="8"/>
      <c r="K206" s="8"/>
      <c r="L206" s="2"/>
      <c r="M206" s="2"/>
      <c r="N206" s="2"/>
      <c r="O206" s="2"/>
    </row>
    <row r="207" spans="1:15" ht="26.25" customHeight="1" x14ac:dyDescent="0.25">
      <c r="A207" s="1"/>
      <c r="B207" s="1"/>
      <c r="C207" s="1"/>
      <c r="D207" s="8"/>
      <c r="E207" s="8"/>
      <c r="F207" s="8"/>
      <c r="G207" s="28"/>
      <c r="H207" s="8"/>
      <c r="I207" s="8"/>
      <c r="J207" s="8"/>
      <c r="K207" s="8"/>
      <c r="L207" s="8"/>
      <c r="M207" s="8"/>
      <c r="N207" s="8"/>
      <c r="O207" s="8"/>
    </row>
    <row r="208" spans="1:15" ht="26.25" customHeight="1" x14ac:dyDescent="0.25">
      <c r="A208" s="1"/>
      <c r="B208" s="1"/>
      <c r="C208" s="1"/>
      <c r="D208" s="8"/>
      <c r="E208" s="8"/>
      <c r="F208" s="8"/>
      <c r="G208" s="28"/>
      <c r="H208" s="8"/>
      <c r="I208" s="8"/>
      <c r="J208" s="8"/>
      <c r="K208" s="8"/>
      <c r="L208" s="8"/>
      <c r="M208" s="8"/>
      <c r="N208" s="8"/>
      <c r="O208" s="8"/>
    </row>
    <row r="209" spans="1:15" ht="26.25" customHeight="1" x14ac:dyDescent="0.25">
      <c r="A209" s="1"/>
      <c r="B209" s="1"/>
      <c r="C209" s="1"/>
      <c r="D209" s="8"/>
      <c r="E209" s="8"/>
      <c r="F209" s="8"/>
      <c r="G209" s="28"/>
      <c r="H209" s="8"/>
      <c r="I209" s="8"/>
      <c r="J209" s="8"/>
      <c r="K209" s="8"/>
      <c r="L209" s="8"/>
      <c r="M209" s="8"/>
      <c r="N209" s="8"/>
      <c r="O209" s="8"/>
    </row>
    <row r="210" spans="1:15" ht="26.25" customHeight="1" x14ac:dyDescent="0.25">
      <c r="A210" s="1"/>
      <c r="B210" s="1"/>
      <c r="C210" s="1"/>
      <c r="D210" s="8"/>
      <c r="E210" s="8"/>
      <c r="F210" s="8"/>
      <c r="G210" s="28"/>
      <c r="H210" s="8"/>
      <c r="I210" s="8"/>
      <c r="J210" s="8"/>
      <c r="K210" s="8"/>
      <c r="L210" s="8"/>
      <c r="M210" s="8"/>
      <c r="N210" s="8"/>
      <c r="O210" s="8"/>
    </row>
    <row r="211" spans="1:15" ht="26.25" customHeight="1" x14ac:dyDescent="0.25">
      <c r="A211" s="1"/>
      <c r="B211" s="1"/>
      <c r="C211" s="1"/>
      <c r="D211" s="8"/>
      <c r="E211" s="8"/>
      <c r="F211" s="8"/>
      <c r="G211" s="28"/>
      <c r="H211" s="8"/>
      <c r="I211" s="8"/>
      <c r="J211" s="8"/>
      <c r="K211" s="8"/>
      <c r="L211" s="2"/>
      <c r="M211" s="2"/>
      <c r="N211" s="2"/>
      <c r="O211" s="2"/>
    </row>
    <row r="212" spans="1:15" ht="26.25" customHeight="1" x14ac:dyDescent="0.25">
      <c r="A212" s="1"/>
      <c r="B212" s="1"/>
      <c r="C212" s="1"/>
      <c r="D212" s="8"/>
      <c r="E212" s="8"/>
      <c r="F212" s="8"/>
      <c r="G212" s="8"/>
      <c r="H212" s="8"/>
      <c r="I212" s="8"/>
      <c r="J212" s="8"/>
      <c r="K212" s="8"/>
      <c r="L212" s="2"/>
      <c r="M212" s="2"/>
      <c r="N212" s="2"/>
      <c r="O212" s="2"/>
    </row>
    <row r="213" spans="1:15" ht="26.25" customHeight="1" x14ac:dyDescent="0.25">
      <c r="A213" s="1"/>
      <c r="B213" s="1"/>
      <c r="C213" s="1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</row>
    <row r="214" spans="1:15" ht="26.25" customHeight="1" x14ac:dyDescent="0.25">
      <c r="A214" s="1"/>
      <c r="B214" s="1"/>
      <c r="C214" s="1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</row>
    <row r="215" spans="1:15" ht="26.25" customHeight="1" x14ac:dyDescent="0.25">
      <c r="A215" s="1"/>
      <c r="B215" s="1"/>
      <c r="C215" s="1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</row>
    <row r="216" spans="1:15" ht="26.25" customHeight="1" x14ac:dyDescent="0.25">
      <c r="A216" s="1"/>
      <c r="B216" s="1"/>
      <c r="C216" s="1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</row>
    <row r="217" spans="1:15" ht="26.25" customHeight="1" x14ac:dyDescent="0.25">
      <c r="A217" s="1"/>
      <c r="B217" s="1"/>
      <c r="C217" s="1"/>
      <c r="D217" s="8"/>
      <c r="E217" s="8"/>
      <c r="F217" s="8"/>
      <c r="G217" s="8"/>
      <c r="H217" s="8"/>
      <c r="I217" s="8"/>
      <c r="J217" s="8"/>
      <c r="K217" s="8"/>
      <c r="L217" s="2"/>
      <c r="M217" s="2"/>
      <c r="N217" s="2"/>
      <c r="O217" s="2"/>
    </row>
    <row r="218" spans="1:15" ht="26.25" customHeight="1" x14ac:dyDescent="0.25">
      <c r="A218" s="1"/>
      <c r="B218" s="1"/>
      <c r="C218" s="1"/>
      <c r="D218" s="8"/>
      <c r="E218" s="8"/>
      <c r="F218" s="8"/>
      <c r="G218" s="8"/>
      <c r="H218" s="8"/>
      <c r="I218" s="8"/>
      <c r="J218" s="8"/>
      <c r="K218" s="8"/>
      <c r="L218" s="2"/>
      <c r="M218" s="2"/>
      <c r="N218" s="2"/>
      <c r="O218" s="2"/>
    </row>
    <row r="219" spans="1:15" ht="26.25" customHeight="1" x14ac:dyDescent="0.25">
      <c r="A219" s="1"/>
      <c r="B219" s="1"/>
      <c r="C219" s="1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</row>
    <row r="220" spans="1:15" ht="26.25" customHeight="1" x14ac:dyDescent="0.25">
      <c r="A220" s="1"/>
      <c r="B220" s="1"/>
      <c r="C220" s="1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</row>
    <row r="221" spans="1:15" ht="26.25" customHeight="1" x14ac:dyDescent="0.25">
      <c r="A221" s="1"/>
      <c r="B221" s="1"/>
      <c r="C221" s="1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</row>
    <row r="222" spans="1:15" ht="26.25" customHeight="1" x14ac:dyDescent="0.25">
      <c r="A222" s="1"/>
      <c r="B222" s="1"/>
      <c r="C222" s="1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</row>
    <row r="223" spans="1:15" ht="26.25" customHeight="1" x14ac:dyDescent="0.25">
      <c r="A223" s="1"/>
      <c r="B223" s="1"/>
      <c r="C223" s="1"/>
      <c r="D223" s="8"/>
      <c r="E223" s="8"/>
      <c r="F223" s="8"/>
      <c r="G223" s="8"/>
      <c r="H223" s="8"/>
      <c r="I223" s="8"/>
      <c r="J223" s="8"/>
      <c r="K223" s="8"/>
      <c r="L223" s="2"/>
      <c r="M223" s="2"/>
      <c r="N223" s="2"/>
      <c r="O223" s="2"/>
    </row>
    <row r="224" spans="1:15" ht="26.25" customHeight="1" x14ac:dyDescent="0.25">
      <c r="A224" s="1"/>
      <c r="B224" s="1"/>
      <c r="C224" s="1"/>
      <c r="D224" s="8"/>
      <c r="E224" s="8"/>
      <c r="F224" s="8"/>
      <c r="G224" s="8"/>
      <c r="H224" s="8"/>
      <c r="I224" s="8"/>
      <c r="J224" s="8"/>
      <c r="K224" s="8"/>
      <c r="L224" s="2"/>
      <c r="M224" s="2"/>
      <c r="N224" s="2"/>
      <c r="O224" s="2"/>
    </row>
    <row r="225" spans="1:15" ht="26.25" customHeight="1" x14ac:dyDescent="0.25">
      <c r="A225" s="1"/>
      <c r="B225" s="1"/>
      <c r="C225" s="1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</row>
    <row r="226" spans="1:15" ht="26.25" customHeight="1" x14ac:dyDescent="0.25">
      <c r="A226" s="1"/>
      <c r="B226" s="1"/>
      <c r="C226" s="1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</row>
    <row r="227" spans="1:15" ht="26.25" customHeight="1" x14ac:dyDescent="0.25">
      <c r="A227" s="1"/>
      <c r="B227" s="1"/>
      <c r="C227" s="1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</row>
    <row r="228" spans="1:15" ht="26.25" customHeight="1" x14ac:dyDescent="0.25">
      <c r="A228" s="1"/>
      <c r="B228" s="1"/>
      <c r="C228" s="1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</row>
    <row r="229" spans="1:15" ht="26.25" customHeight="1" x14ac:dyDescent="0.25">
      <c r="A229" s="1"/>
      <c r="B229" s="1"/>
      <c r="C229" s="1"/>
      <c r="D229" s="8"/>
      <c r="E229" s="8"/>
      <c r="F229" s="8"/>
      <c r="G229" s="8"/>
      <c r="H229" s="8"/>
      <c r="I229" s="8"/>
      <c r="J229" s="8"/>
      <c r="K229" s="8"/>
      <c r="L229" s="2"/>
      <c r="M229" s="2"/>
      <c r="N229" s="2"/>
      <c r="O229" s="2"/>
    </row>
    <row r="230" spans="1:15" ht="26.25" customHeight="1" x14ac:dyDescent="0.25">
      <c r="A230" s="1"/>
      <c r="B230" s="1"/>
      <c r="C230" s="1"/>
      <c r="D230" s="8"/>
      <c r="E230" s="8"/>
      <c r="F230" s="8"/>
      <c r="G230" s="8"/>
      <c r="H230" s="8"/>
      <c r="I230" s="8"/>
      <c r="J230" s="8"/>
      <c r="K230" s="8"/>
      <c r="L230" s="2"/>
      <c r="M230" s="2"/>
      <c r="N230" s="2"/>
      <c r="O230" s="2"/>
    </row>
    <row r="231" spans="1:15" ht="26.25" customHeight="1" x14ac:dyDescent="0.25">
      <c r="A231" s="1"/>
      <c r="B231" s="1"/>
      <c r="C231" s="1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</row>
    <row r="232" spans="1:15" ht="26.25" customHeight="1" x14ac:dyDescent="0.25">
      <c r="A232" s="1"/>
      <c r="B232" s="1"/>
      <c r="C232" s="1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</row>
    <row r="233" spans="1:15" ht="26.25" customHeight="1" x14ac:dyDescent="0.25">
      <c r="A233" s="1"/>
      <c r="B233" s="1"/>
      <c r="C233" s="1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</row>
    <row r="234" spans="1:15" ht="26.25" customHeight="1" x14ac:dyDescent="0.25">
      <c r="A234" s="1"/>
      <c r="B234" s="1"/>
      <c r="C234" s="1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</row>
    <row r="235" spans="1:15" ht="26.25" customHeight="1" x14ac:dyDescent="0.25">
      <c r="A235" s="1"/>
      <c r="B235" s="1"/>
      <c r="C235" s="1"/>
      <c r="D235" s="8"/>
      <c r="E235" s="8"/>
      <c r="F235" s="8"/>
      <c r="G235" s="8"/>
      <c r="H235" s="8"/>
      <c r="I235" s="8"/>
      <c r="J235" s="8"/>
      <c r="K235" s="8"/>
      <c r="L235" s="2"/>
      <c r="M235" s="2"/>
      <c r="N235" s="2"/>
      <c r="O235" s="2"/>
    </row>
    <row r="236" spans="1:15" ht="26.25" customHeight="1" x14ac:dyDescent="0.25">
      <c r="A236" s="1"/>
      <c r="B236" s="1"/>
      <c r="C236" s="1"/>
      <c r="D236" s="8"/>
      <c r="E236" s="8"/>
      <c r="F236" s="8"/>
      <c r="G236" s="8"/>
      <c r="H236" s="8"/>
      <c r="I236" s="8"/>
      <c r="J236" s="8"/>
      <c r="K236" s="8"/>
      <c r="L236" s="2"/>
      <c r="M236" s="2"/>
      <c r="N236" s="2"/>
      <c r="O236" s="2"/>
    </row>
    <row r="237" spans="1:15" ht="26.25" customHeight="1" x14ac:dyDescent="0.25">
      <c r="A237" s="1"/>
      <c r="B237" s="1"/>
      <c r="C237" s="1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</row>
    <row r="238" spans="1:15" ht="26.25" customHeight="1" x14ac:dyDescent="0.25">
      <c r="A238" s="1"/>
      <c r="B238" s="1"/>
      <c r="C238" s="1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</row>
    <row r="239" spans="1:15" ht="26.25" customHeight="1" x14ac:dyDescent="0.25">
      <c r="A239" s="1"/>
      <c r="B239" s="1"/>
      <c r="C239" s="1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</row>
    <row r="240" spans="1:15" ht="26.25" customHeight="1" x14ac:dyDescent="0.25">
      <c r="A240" s="1"/>
      <c r="B240" s="1"/>
      <c r="C240" s="1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</row>
    <row r="241" spans="1:15" ht="26.25" customHeight="1" x14ac:dyDescent="0.25">
      <c r="A241" s="1"/>
      <c r="B241" s="1"/>
      <c r="C241" s="1"/>
      <c r="D241" s="8"/>
      <c r="E241" s="8"/>
      <c r="F241" s="8"/>
      <c r="G241" s="8"/>
      <c r="H241" s="8"/>
      <c r="I241" s="8"/>
      <c r="J241" s="8"/>
      <c r="K241" s="8"/>
      <c r="L241" s="2"/>
      <c r="M241" s="2"/>
      <c r="N241" s="2"/>
      <c r="O241" s="2"/>
    </row>
    <row r="242" spans="1:15" ht="26.25" customHeight="1" x14ac:dyDescent="0.25">
      <c r="A242" s="1"/>
      <c r="B242" s="1"/>
      <c r="C242" s="1"/>
      <c r="D242" s="8"/>
      <c r="E242" s="8"/>
      <c r="F242" s="8"/>
      <c r="G242" s="8"/>
      <c r="H242" s="8"/>
      <c r="I242" s="8"/>
      <c r="J242" s="8"/>
      <c r="K242" s="8"/>
      <c r="L242" s="2"/>
      <c r="M242" s="2"/>
      <c r="N242" s="2"/>
      <c r="O242" s="2"/>
    </row>
    <row r="243" spans="1:15" ht="26.25" customHeight="1" x14ac:dyDescent="0.25">
      <c r="A243" s="1"/>
      <c r="B243" s="1"/>
      <c r="C243" s="1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</row>
    <row r="244" spans="1:15" ht="26.25" customHeight="1" x14ac:dyDescent="0.25">
      <c r="A244" s="1"/>
      <c r="B244" s="1"/>
      <c r="C244" s="1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</row>
    <row r="245" spans="1:15" ht="26.25" customHeight="1" x14ac:dyDescent="0.25">
      <c r="A245" s="1"/>
      <c r="B245" s="1"/>
      <c r="C245" s="1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</row>
    <row r="246" spans="1:15" ht="26.25" customHeight="1" x14ac:dyDescent="0.25">
      <c r="A246" s="1"/>
      <c r="B246" s="1"/>
      <c r="C246" s="1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</row>
    <row r="247" spans="1:15" ht="26.25" customHeight="1" x14ac:dyDescent="0.25">
      <c r="A247" s="1"/>
      <c r="B247" s="1"/>
      <c r="C247" s="1"/>
      <c r="D247" s="8"/>
      <c r="E247" s="8"/>
      <c r="F247" s="8"/>
      <c r="G247" s="8"/>
      <c r="H247" s="8"/>
      <c r="I247" s="8"/>
      <c r="J247" s="8"/>
      <c r="K247" s="8"/>
      <c r="L247" s="2"/>
      <c r="M247" s="2"/>
      <c r="N247" s="2"/>
      <c r="O247" s="2"/>
    </row>
    <row r="248" spans="1:15" ht="26.25" customHeight="1" x14ac:dyDescent="0.25">
      <c r="A248" s="1"/>
      <c r="B248" s="1"/>
      <c r="C248" s="1"/>
      <c r="D248" s="8"/>
      <c r="E248" s="8"/>
      <c r="F248" s="8"/>
      <c r="G248" s="8"/>
      <c r="H248" s="8"/>
      <c r="I248" s="8"/>
      <c r="J248" s="8"/>
      <c r="K248" s="8"/>
      <c r="L248" s="2"/>
      <c r="M248" s="2"/>
      <c r="N248" s="2"/>
      <c r="O248" s="2"/>
    </row>
    <row r="249" spans="1:15" ht="26.25" customHeight="1" x14ac:dyDescent="0.25">
      <c r="A249" s="1"/>
      <c r="B249" s="1"/>
      <c r="C249" s="1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</row>
    <row r="250" spans="1:15" ht="26.25" customHeight="1" x14ac:dyDescent="0.25">
      <c r="A250" s="1"/>
      <c r="B250" s="1"/>
      <c r="C250" s="1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</row>
    <row r="251" spans="1:15" ht="26.25" customHeight="1" x14ac:dyDescent="0.25">
      <c r="A251" s="1"/>
      <c r="B251" s="1"/>
      <c r="C251" s="1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</row>
    <row r="252" spans="1:15" ht="26.25" customHeight="1" x14ac:dyDescent="0.25">
      <c r="A252" s="1"/>
      <c r="B252" s="1"/>
      <c r="C252" s="1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</row>
    <row r="253" spans="1:15" ht="26.25" customHeight="1" x14ac:dyDescent="0.25">
      <c r="A253" s="1"/>
      <c r="B253" s="1"/>
      <c r="C253" s="1"/>
      <c r="D253" s="8"/>
      <c r="E253" s="8"/>
      <c r="F253" s="8"/>
      <c r="G253" s="8"/>
      <c r="H253" s="8"/>
      <c r="I253" s="8"/>
      <c r="J253" s="8"/>
      <c r="K253" s="8"/>
      <c r="L253" s="2"/>
      <c r="M253" s="2"/>
      <c r="N253" s="2"/>
      <c r="O253" s="2"/>
    </row>
    <row r="254" spans="1:15" ht="26.25" customHeight="1" x14ac:dyDescent="0.25">
      <c r="A254" s="1"/>
      <c r="B254" s="1"/>
      <c r="C254" s="1"/>
      <c r="D254" s="8"/>
      <c r="E254" s="8"/>
      <c r="F254" s="8"/>
      <c r="G254" s="8"/>
      <c r="H254" s="8"/>
      <c r="I254" s="8"/>
      <c r="J254" s="8"/>
      <c r="K254" s="8"/>
      <c r="L254" s="2"/>
      <c r="M254" s="2"/>
      <c r="N254" s="2"/>
      <c r="O254" s="2"/>
    </row>
    <row r="255" spans="1:15" ht="26.25" customHeight="1" x14ac:dyDescent="0.25">
      <c r="A255" s="1"/>
      <c r="B255" s="1"/>
      <c r="C255" s="1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</row>
    <row r="256" spans="1:15" ht="26.25" customHeight="1" x14ac:dyDescent="0.25">
      <c r="A256" s="1"/>
      <c r="B256" s="1"/>
      <c r="C256" s="1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</row>
    <row r="257" spans="1:15" ht="26.25" customHeight="1" x14ac:dyDescent="0.25">
      <c r="A257" s="1"/>
      <c r="B257" s="1"/>
      <c r="C257" s="1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</row>
    <row r="258" spans="1:15" ht="26.25" customHeight="1" x14ac:dyDescent="0.25">
      <c r="A258" s="1"/>
      <c r="B258" s="1"/>
      <c r="C258" s="1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</row>
    <row r="259" spans="1:15" ht="26.25" customHeight="1" x14ac:dyDescent="0.25">
      <c r="A259" s="1"/>
      <c r="B259" s="1"/>
      <c r="C259" s="1"/>
      <c r="D259" s="8"/>
      <c r="E259" s="8"/>
      <c r="F259" s="8"/>
      <c r="G259" s="8"/>
      <c r="H259" s="8"/>
      <c r="I259" s="8"/>
      <c r="J259" s="8"/>
      <c r="K259" s="8"/>
      <c r="L259" s="2"/>
      <c r="M259" s="2"/>
      <c r="N259" s="2"/>
      <c r="O259" s="2"/>
    </row>
    <row r="260" spans="1:15" ht="26.25" customHeight="1" x14ac:dyDescent="0.25">
      <c r="A260" s="1"/>
      <c r="B260" s="1"/>
      <c r="C260" s="1"/>
      <c r="D260" s="8"/>
      <c r="E260" s="8"/>
      <c r="F260" s="8"/>
      <c r="G260" s="8"/>
      <c r="H260" s="8"/>
      <c r="I260" s="8"/>
      <c r="J260" s="8"/>
      <c r="K260" s="8"/>
      <c r="L260" s="2"/>
      <c r="M260" s="2"/>
      <c r="N260" s="2"/>
      <c r="O260" s="2"/>
    </row>
    <row r="261" spans="1:15" ht="26.25" customHeight="1" x14ac:dyDescent="0.25">
      <c r="A261" s="1"/>
      <c r="B261" s="1"/>
      <c r="C261" s="1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</row>
    <row r="262" spans="1:15" ht="26.25" customHeight="1" x14ac:dyDescent="0.25">
      <c r="A262" s="1"/>
      <c r="B262" s="1"/>
      <c r="C262" s="1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</row>
    <row r="263" spans="1:15" ht="26.25" customHeight="1" x14ac:dyDescent="0.25">
      <c r="A263" s="1"/>
      <c r="B263" s="1"/>
      <c r="C263" s="1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</row>
    <row r="264" spans="1:15" ht="26.25" customHeight="1" x14ac:dyDescent="0.25">
      <c r="A264" s="1"/>
      <c r="B264" s="1"/>
      <c r="C264" s="1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</row>
    <row r="265" spans="1:15" ht="26.25" customHeight="1" x14ac:dyDescent="0.25">
      <c r="A265" s="1"/>
      <c r="B265" s="1"/>
      <c r="C265" s="1"/>
      <c r="D265" s="8"/>
      <c r="E265" s="8"/>
      <c r="F265" s="8"/>
      <c r="G265" s="8"/>
      <c r="H265" s="8"/>
      <c r="I265" s="8"/>
      <c r="J265" s="8"/>
      <c r="K265" s="8"/>
      <c r="L265" s="2"/>
      <c r="M265" s="2"/>
      <c r="N265" s="2"/>
      <c r="O265" s="2"/>
    </row>
    <row r="266" spans="1:15" ht="26.25" customHeight="1" x14ac:dyDescent="0.25">
      <c r="A266" s="1"/>
      <c r="B266" s="1"/>
      <c r="C266" s="1"/>
      <c r="D266" s="8"/>
      <c r="E266" s="8"/>
      <c r="F266" s="8"/>
      <c r="G266" s="8"/>
      <c r="H266" s="8"/>
      <c r="I266" s="8"/>
      <c r="J266" s="8"/>
      <c r="K266" s="8"/>
      <c r="L266" s="2"/>
      <c r="M266" s="2"/>
      <c r="N266" s="2"/>
      <c r="O266" s="2"/>
    </row>
    <row r="267" spans="1:15" ht="26.25" customHeight="1" x14ac:dyDescent="0.25">
      <c r="A267" s="1"/>
      <c r="B267" s="1"/>
      <c r="C267" s="1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</row>
    <row r="268" spans="1:15" ht="26.25" customHeight="1" x14ac:dyDescent="0.25">
      <c r="A268" s="1"/>
      <c r="B268" s="1"/>
      <c r="C268" s="1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</row>
    <row r="269" spans="1:15" ht="26.25" customHeight="1" x14ac:dyDescent="0.25">
      <c r="A269" s="1"/>
      <c r="B269" s="1"/>
      <c r="C269" s="1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</row>
    <row r="270" spans="1:15" ht="26.25" customHeight="1" x14ac:dyDescent="0.25">
      <c r="A270" s="1"/>
      <c r="B270" s="1"/>
      <c r="C270" s="1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</row>
    <row r="271" spans="1:15" ht="26.25" customHeight="1" x14ac:dyDescent="0.25">
      <c r="A271" s="1"/>
      <c r="B271" s="1"/>
      <c r="C271" s="1"/>
      <c r="D271" s="8"/>
      <c r="E271" s="8"/>
      <c r="F271" s="8"/>
      <c r="G271" s="8"/>
      <c r="H271" s="8"/>
      <c r="I271" s="8"/>
      <c r="J271" s="8"/>
      <c r="K271" s="8"/>
      <c r="L271" s="2"/>
      <c r="M271" s="2"/>
      <c r="N271" s="2"/>
      <c r="O271" s="2"/>
    </row>
    <row r="272" spans="1:15" ht="26.25" customHeight="1" x14ac:dyDescent="0.25">
      <c r="A272" s="1"/>
      <c r="B272" s="1"/>
      <c r="C272" s="1"/>
      <c r="D272" s="8"/>
      <c r="E272" s="8"/>
      <c r="F272" s="8"/>
      <c r="G272" s="8"/>
      <c r="H272" s="8"/>
      <c r="I272" s="8"/>
      <c r="J272" s="8"/>
      <c r="K272" s="8"/>
      <c r="L272" s="2"/>
      <c r="M272" s="2"/>
      <c r="N272" s="2"/>
      <c r="O272" s="2"/>
    </row>
    <row r="273" spans="1:15" ht="26.25" customHeight="1" x14ac:dyDescent="0.25">
      <c r="A273" s="1"/>
      <c r="B273" s="1"/>
      <c r="C273" s="1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</row>
    <row r="274" spans="1:15" ht="26.25" customHeight="1" x14ac:dyDescent="0.25">
      <c r="A274" s="1"/>
      <c r="B274" s="1"/>
      <c r="C274" s="1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</row>
    <row r="275" spans="1:15" ht="26.25" customHeight="1" x14ac:dyDescent="0.25">
      <c r="A275" s="1"/>
      <c r="B275" s="1"/>
      <c r="C275" s="1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</row>
    <row r="276" spans="1:15" ht="26.25" customHeight="1" x14ac:dyDescent="0.25">
      <c r="A276" s="1"/>
      <c r="B276" s="1"/>
      <c r="C276" s="1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</row>
    <row r="277" spans="1:15" ht="26.25" customHeight="1" x14ac:dyDescent="0.25">
      <c r="A277" s="1"/>
      <c r="B277" s="1"/>
      <c r="C277" s="1"/>
      <c r="D277" s="8"/>
      <c r="E277" s="8"/>
      <c r="F277" s="8"/>
      <c r="G277" s="8"/>
      <c r="H277" s="8"/>
      <c r="I277" s="8"/>
      <c r="J277" s="8"/>
      <c r="K277" s="8"/>
      <c r="L277" s="2"/>
      <c r="M277" s="2"/>
      <c r="N277" s="2"/>
      <c r="O277" s="2"/>
    </row>
    <row r="278" spans="1:15" ht="26.25" customHeight="1" x14ac:dyDescent="0.25">
      <c r="A278" s="1"/>
      <c r="B278" s="1"/>
      <c r="C278" s="1"/>
      <c r="D278" s="8"/>
      <c r="E278" s="8"/>
      <c r="F278" s="8"/>
      <c r="G278" s="8"/>
      <c r="H278" s="8"/>
      <c r="I278" s="8"/>
      <c r="J278" s="8"/>
      <c r="K278" s="8"/>
      <c r="L278" s="2"/>
      <c r="M278" s="2"/>
      <c r="N278" s="2"/>
      <c r="O278" s="2"/>
    </row>
    <row r="279" spans="1:15" ht="26.25" customHeight="1" x14ac:dyDescent="0.25">
      <c r="A279" s="1"/>
      <c r="B279" s="1"/>
      <c r="C279" s="1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</row>
    <row r="280" spans="1:15" ht="26.25" customHeight="1" x14ac:dyDescent="0.25">
      <c r="A280" s="1"/>
      <c r="B280" s="1"/>
      <c r="C280" s="1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</row>
    <row r="281" spans="1:15" ht="26.25" customHeight="1" x14ac:dyDescent="0.25">
      <c r="A281" s="1"/>
      <c r="B281" s="1"/>
      <c r="C281" s="1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</row>
    <row r="282" spans="1:15" ht="26.25" customHeight="1" x14ac:dyDescent="0.25">
      <c r="A282" s="1"/>
      <c r="B282" s="1"/>
      <c r="C282" s="1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</row>
    <row r="283" spans="1:15" ht="26.25" customHeight="1" x14ac:dyDescent="0.25">
      <c r="A283" s="1"/>
      <c r="B283" s="1"/>
      <c r="C283" s="1"/>
      <c r="D283" s="8"/>
      <c r="E283" s="8"/>
      <c r="F283" s="8"/>
      <c r="G283" s="8"/>
      <c r="H283" s="8"/>
      <c r="I283" s="8"/>
      <c r="J283" s="8"/>
      <c r="K283" s="8"/>
      <c r="L283" s="2"/>
      <c r="M283" s="2"/>
      <c r="N283" s="2"/>
      <c r="O283" s="2"/>
    </row>
    <row r="284" spans="1:15" ht="26.25" customHeight="1" x14ac:dyDescent="0.25">
      <c r="A284" s="1"/>
      <c r="B284" s="1"/>
      <c r="C284" s="1"/>
      <c r="D284" s="8"/>
      <c r="E284" s="8"/>
      <c r="F284" s="8"/>
      <c r="G284" s="8"/>
      <c r="H284" s="8"/>
      <c r="I284" s="8"/>
      <c r="J284" s="8"/>
      <c r="K284" s="8"/>
      <c r="L284" s="2"/>
      <c r="M284" s="2"/>
      <c r="N284" s="2"/>
      <c r="O284" s="2"/>
    </row>
    <row r="285" spans="1:15" ht="26.25" customHeight="1" x14ac:dyDescent="0.25">
      <c r="A285" s="1"/>
      <c r="B285" s="1"/>
      <c r="C285" s="1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</row>
    <row r="286" spans="1:15" ht="26.25" customHeight="1" x14ac:dyDescent="0.25">
      <c r="A286" s="1"/>
      <c r="B286" s="1"/>
      <c r="C286" s="1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</row>
    <row r="287" spans="1:15" ht="26.25" customHeight="1" x14ac:dyDescent="0.25">
      <c r="A287" s="1"/>
      <c r="B287" s="1"/>
      <c r="C287" s="1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</row>
    <row r="288" spans="1:15" ht="26.25" customHeight="1" x14ac:dyDescent="0.25">
      <c r="A288" s="1"/>
      <c r="B288" s="1"/>
      <c r="C288" s="1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</row>
    <row r="289" spans="1:15" ht="26.25" customHeight="1" x14ac:dyDescent="0.25">
      <c r="A289" s="1"/>
      <c r="B289" s="1"/>
      <c r="C289" s="1"/>
      <c r="D289" s="8"/>
      <c r="E289" s="8"/>
      <c r="F289" s="8"/>
      <c r="G289" s="8"/>
      <c r="H289" s="8"/>
      <c r="I289" s="8"/>
      <c r="J289" s="8"/>
      <c r="K289" s="8"/>
      <c r="L289" s="2"/>
      <c r="M289" s="2"/>
      <c r="N289" s="2"/>
      <c r="O289" s="2"/>
    </row>
    <row r="290" spans="1:15" ht="26.25" customHeight="1" x14ac:dyDescent="0.25">
      <c r="A290" s="1"/>
      <c r="B290" s="1"/>
      <c r="C290" s="1"/>
      <c r="D290" s="8"/>
      <c r="E290" s="8"/>
      <c r="F290" s="8"/>
      <c r="G290" s="8"/>
      <c r="H290" s="8"/>
      <c r="I290" s="8"/>
      <c r="J290" s="8"/>
      <c r="K290" s="8"/>
      <c r="L290" s="2"/>
      <c r="M290" s="2"/>
      <c r="N290" s="2"/>
      <c r="O290" s="2"/>
    </row>
    <row r="291" spans="1:15" ht="26.25" customHeight="1" x14ac:dyDescent="0.25">
      <c r="A291" s="1"/>
      <c r="B291" s="1"/>
      <c r="C291" s="1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</row>
    <row r="292" spans="1:15" ht="26.25" customHeight="1" x14ac:dyDescent="0.25">
      <c r="A292" s="1"/>
      <c r="B292" s="1"/>
      <c r="C292" s="1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</row>
    <row r="293" spans="1:15" ht="26.25" customHeight="1" x14ac:dyDescent="0.25">
      <c r="A293" s="1"/>
      <c r="B293" s="1"/>
      <c r="C293" s="1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</row>
    <row r="294" spans="1:15" ht="26.25" customHeight="1" x14ac:dyDescent="0.25">
      <c r="A294" s="1"/>
      <c r="B294" s="1"/>
      <c r="C294" s="1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</row>
    <row r="295" spans="1:15" ht="26.25" customHeight="1" x14ac:dyDescent="0.25">
      <c r="A295" s="1"/>
      <c r="B295" s="1"/>
      <c r="C295" s="1"/>
      <c r="D295" s="8"/>
      <c r="E295" s="8"/>
      <c r="F295" s="8"/>
      <c r="G295" s="8"/>
      <c r="H295" s="8"/>
      <c r="I295" s="8"/>
      <c r="J295" s="8"/>
      <c r="K295" s="8"/>
      <c r="L295" s="2"/>
      <c r="M295" s="2"/>
      <c r="N295" s="2"/>
      <c r="O295" s="2"/>
    </row>
    <row r="296" spans="1:15" ht="26.25" customHeight="1" x14ac:dyDescent="0.25">
      <c r="A296" s="1"/>
      <c r="B296" s="1"/>
      <c r="C296" s="1"/>
      <c r="D296" s="8"/>
      <c r="E296" s="8"/>
      <c r="F296" s="8"/>
      <c r="G296" s="8"/>
      <c r="H296" s="8"/>
      <c r="I296" s="8"/>
      <c r="J296" s="8"/>
      <c r="K296" s="8"/>
      <c r="L296" s="2"/>
      <c r="M296" s="2"/>
      <c r="N296" s="2"/>
      <c r="O296" s="2"/>
    </row>
    <row r="297" spans="1:15" ht="26.25" customHeight="1" x14ac:dyDescent="0.25">
      <c r="A297" s="1"/>
      <c r="B297" s="1"/>
      <c r="C297" s="1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</row>
    <row r="298" spans="1:15" ht="26.25" customHeight="1" x14ac:dyDescent="0.25">
      <c r="A298" s="1"/>
      <c r="B298" s="1"/>
      <c r="C298" s="1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</row>
    <row r="299" spans="1:15" ht="26.25" customHeight="1" x14ac:dyDescent="0.25">
      <c r="A299" s="1"/>
      <c r="B299" s="1"/>
      <c r="C299" s="1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</row>
    <row r="300" spans="1:15" ht="26.25" customHeight="1" x14ac:dyDescent="0.25">
      <c r="A300" s="1"/>
      <c r="B300" s="1"/>
      <c r="C300" s="1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</row>
    <row r="301" spans="1:15" ht="26.25" customHeight="1" x14ac:dyDescent="0.25">
      <c r="A301" s="1"/>
      <c r="B301" s="1"/>
      <c r="C301" s="1"/>
      <c r="D301" s="8"/>
      <c r="E301" s="8"/>
      <c r="F301" s="8"/>
      <c r="G301" s="8"/>
      <c r="H301" s="8"/>
      <c r="I301" s="8"/>
      <c r="J301" s="8"/>
      <c r="K301" s="8"/>
      <c r="L301" s="2"/>
      <c r="M301" s="2"/>
      <c r="N301" s="2"/>
      <c r="O301" s="2"/>
    </row>
    <row r="302" spans="1:15" ht="26.25" customHeight="1" x14ac:dyDescent="0.25">
      <c r="A302" s="1"/>
      <c r="B302" s="1"/>
      <c r="C302" s="1"/>
      <c r="D302" s="8"/>
      <c r="E302" s="8"/>
      <c r="F302" s="8"/>
      <c r="G302" s="8"/>
      <c r="H302" s="8"/>
      <c r="I302" s="8"/>
      <c r="J302" s="8"/>
      <c r="K302" s="8"/>
      <c r="L302" s="2"/>
      <c r="M302" s="2"/>
      <c r="N302" s="2"/>
      <c r="O302" s="2"/>
    </row>
    <row r="303" spans="1:15" ht="26.25" customHeight="1" x14ac:dyDescent="0.25">
      <c r="A303" s="1"/>
      <c r="B303" s="1"/>
      <c r="C303" s="1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</row>
    <row r="304" spans="1:15" ht="26.25" customHeight="1" x14ac:dyDescent="0.25">
      <c r="A304" s="1"/>
      <c r="B304" s="1"/>
      <c r="C304" s="1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</row>
    <row r="305" spans="1:15" ht="26.25" customHeight="1" x14ac:dyDescent="0.25">
      <c r="A305" s="1"/>
      <c r="B305" s="1"/>
      <c r="C305" s="1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</row>
    <row r="306" spans="1:15" ht="26.25" customHeight="1" x14ac:dyDescent="0.25">
      <c r="A306" s="1"/>
      <c r="B306" s="1"/>
      <c r="C306" s="1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</row>
    <row r="307" spans="1:15" ht="26.25" customHeight="1" x14ac:dyDescent="0.25">
      <c r="A307" s="1"/>
      <c r="B307" s="1"/>
      <c r="C307" s="1"/>
      <c r="D307" s="8"/>
      <c r="E307" s="8"/>
      <c r="F307" s="8"/>
      <c r="G307" s="8"/>
      <c r="H307" s="8"/>
      <c r="I307" s="8"/>
      <c r="J307" s="8"/>
      <c r="K307" s="8"/>
      <c r="L307" s="2"/>
      <c r="M307" s="2"/>
      <c r="N307" s="2"/>
      <c r="O307" s="2"/>
    </row>
    <row r="308" spans="1:15" ht="26.25" customHeight="1" x14ac:dyDescent="0.25">
      <c r="A308" s="1"/>
      <c r="B308" s="1"/>
      <c r="C308" s="1"/>
      <c r="D308" s="8"/>
      <c r="E308" s="8"/>
      <c r="F308" s="8"/>
      <c r="G308" s="8"/>
      <c r="H308" s="8"/>
      <c r="I308" s="8"/>
      <c r="J308" s="8"/>
      <c r="K308" s="8"/>
      <c r="L308" s="2"/>
      <c r="M308" s="2"/>
      <c r="N308" s="2"/>
      <c r="O308" s="2"/>
    </row>
    <row r="309" spans="1:15" ht="26.25" customHeight="1" x14ac:dyDescent="0.25">
      <c r="A309" s="1"/>
      <c r="B309" s="1"/>
      <c r="C309" s="1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</row>
    <row r="310" spans="1:15" ht="26.25" customHeight="1" x14ac:dyDescent="0.25">
      <c r="A310" s="1"/>
      <c r="B310" s="1"/>
      <c r="C310" s="1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</row>
    <row r="311" spans="1:15" ht="26.25" customHeight="1" x14ac:dyDescent="0.25">
      <c r="A311" s="1"/>
      <c r="B311" s="1"/>
      <c r="C311" s="1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</row>
    <row r="312" spans="1:15" ht="26.25" customHeight="1" x14ac:dyDescent="0.25">
      <c r="A312" s="1"/>
      <c r="B312" s="1"/>
      <c r="C312" s="1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</row>
    <row r="313" spans="1:15" ht="26.25" customHeight="1" x14ac:dyDescent="0.25">
      <c r="A313" s="1"/>
      <c r="B313" s="1"/>
      <c r="C313" s="1"/>
      <c r="D313" s="8"/>
      <c r="E313" s="8"/>
      <c r="F313" s="8"/>
      <c r="G313" s="8"/>
      <c r="H313" s="8"/>
      <c r="I313" s="8"/>
      <c r="J313" s="8"/>
      <c r="K313" s="8"/>
      <c r="L313" s="2"/>
      <c r="M313" s="2"/>
      <c r="N313" s="2"/>
      <c r="O313" s="2"/>
    </row>
    <row r="314" spans="1:15" ht="26.25" customHeight="1" x14ac:dyDescent="0.25">
      <c r="A314" s="1"/>
      <c r="B314" s="1"/>
      <c r="C314" s="1"/>
      <c r="D314" s="8"/>
      <c r="E314" s="8"/>
      <c r="F314" s="8"/>
      <c r="G314" s="8"/>
      <c r="H314" s="8"/>
      <c r="I314" s="8"/>
      <c r="J314" s="8"/>
      <c r="K314" s="8"/>
      <c r="L314" s="2"/>
      <c r="M314" s="2"/>
      <c r="N314" s="2"/>
      <c r="O314" s="2"/>
    </row>
    <row r="315" spans="1:15" ht="26.25" customHeight="1" x14ac:dyDescent="0.25">
      <c r="A315" s="1"/>
      <c r="B315" s="1"/>
      <c r="C315" s="1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</row>
    <row r="316" spans="1:15" ht="26.25" customHeight="1" x14ac:dyDescent="0.25">
      <c r="A316" s="1"/>
      <c r="B316" s="1"/>
      <c r="C316" s="1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</row>
    <row r="317" spans="1:15" ht="26.25" customHeight="1" x14ac:dyDescent="0.25">
      <c r="A317" s="1"/>
      <c r="B317" s="1"/>
      <c r="C317" s="1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</row>
    <row r="318" spans="1:15" ht="26.25" customHeight="1" x14ac:dyDescent="0.25">
      <c r="A318" s="1"/>
      <c r="B318" s="1"/>
      <c r="C318" s="1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</row>
    <row r="319" spans="1:15" ht="26.25" customHeight="1" x14ac:dyDescent="0.25">
      <c r="A319" s="1"/>
      <c r="B319" s="1"/>
      <c r="C319" s="1"/>
      <c r="D319" s="8"/>
      <c r="E319" s="8"/>
      <c r="F319" s="8"/>
      <c r="G319" s="8"/>
      <c r="H319" s="8"/>
      <c r="I319" s="8"/>
      <c r="J319" s="8"/>
      <c r="K319" s="8"/>
      <c r="L319" s="2"/>
      <c r="M319" s="2"/>
      <c r="N319" s="2"/>
      <c r="O319" s="2"/>
    </row>
    <row r="320" spans="1:15" ht="26.25" customHeight="1" x14ac:dyDescent="0.25">
      <c r="A320" s="1"/>
      <c r="B320" s="1"/>
      <c r="C320" s="1"/>
      <c r="D320" s="8"/>
      <c r="E320" s="8"/>
      <c r="F320" s="8"/>
      <c r="G320" s="8"/>
      <c r="H320" s="8"/>
      <c r="I320" s="8"/>
      <c r="J320" s="8"/>
      <c r="K320" s="8"/>
      <c r="L320" s="2"/>
      <c r="M320" s="2"/>
      <c r="N320" s="2"/>
      <c r="O320" s="2"/>
    </row>
    <row r="321" spans="1:15" ht="26.25" customHeight="1" x14ac:dyDescent="0.25">
      <c r="A321" s="1"/>
      <c r="B321" s="1"/>
      <c r="C321" s="1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</row>
    <row r="322" spans="1:15" ht="26.25" customHeight="1" x14ac:dyDescent="0.25">
      <c r="A322" s="1"/>
      <c r="B322" s="1"/>
      <c r="C322" s="1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</row>
    <row r="323" spans="1:15" ht="26.25" customHeight="1" x14ac:dyDescent="0.25">
      <c r="A323" s="1"/>
      <c r="B323" s="1"/>
      <c r="C323" s="1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</row>
    <row r="324" spans="1:15" ht="26.25" customHeight="1" x14ac:dyDescent="0.25">
      <c r="A324" s="1"/>
      <c r="B324" s="1"/>
      <c r="C324" s="1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</row>
    <row r="325" spans="1:15" ht="26.25" customHeight="1" x14ac:dyDescent="0.25">
      <c r="A325" s="1"/>
      <c r="B325" s="1"/>
      <c r="C325" s="1"/>
      <c r="D325" s="8"/>
      <c r="E325" s="8"/>
      <c r="F325" s="8"/>
      <c r="G325" s="8"/>
      <c r="H325" s="8"/>
      <c r="I325" s="8"/>
      <c r="J325" s="8"/>
      <c r="K325" s="8"/>
      <c r="L325" s="2"/>
      <c r="M325" s="2"/>
      <c r="N325" s="2"/>
      <c r="O325" s="2"/>
    </row>
    <row r="326" spans="1:15" ht="26.25" customHeight="1" x14ac:dyDescent="0.25">
      <c r="A326" s="1"/>
      <c r="B326" s="1"/>
      <c r="C326" s="1"/>
      <c r="D326" s="8"/>
      <c r="E326" s="8"/>
      <c r="F326" s="8"/>
      <c r="G326" s="8"/>
      <c r="H326" s="8"/>
      <c r="I326" s="8"/>
      <c r="J326" s="8"/>
      <c r="K326" s="8"/>
      <c r="L326" s="2"/>
      <c r="M326" s="2"/>
      <c r="N326" s="2"/>
      <c r="O326" s="2"/>
    </row>
    <row r="327" spans="1:15" ht="26.25" customHeight="1" x14ac:dyDescent="0.25">
      <c r="A327" s="1"/>
      <c r="B327" s="1"/>
      <c r="C327" s="1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</row>
    <row r="328" spans="1:15" ht="26.25" customHeight="1" x14ac:dyDescent="0.25">
      <c r="A328" s="1"/>
      <c r="B328" s="1"/>
      <c r="C328" s="1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</row>
    <row r="329" spans="1:15" ht="26.25" customHeight="1" x14ac:dyDescent="0.25">
      <c r="A329" s="1"/>
      <c r="B329" s="1"/>
      <c r="C329" s="1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</row>
    <row r="330" spans="1:15" ht="26.25" customHeight="1" x14ac:dyDescent="0.25">
      <c r="A330" s="1"/>
      <c r="B330" s="1"/>
      <c r="C330" s="1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</row>
    <row r="331" spans="1:15" ht="26.25" customHeight="1" x14ac:dyDescent="0.25">
      <c r="A331" s="1"/>
      <c r="B331" s="1"/>
      <c r="C331" s="1"/>
      <c r="D331" s="8"/>
      <c r="E331" s="8"/>
      <c r="F331" s="8"/>
      <c r="G331" s="8"/>
      <c r="H331" s="8"/>
      <c r="I331" s="8"/>
      <c r="J331" s="8"/>
      <c r="K331" s="8"/>
      <c r="L331" s="2"/>
      <c r="M331" s="2"/>
      <c r="N331" s="2"/>
      <c r="O331" s="2"/>
    </row>
    <row r="332" spans="1:15" ht="26.25" customHeight="1" x14ac:dyDescent="0.25">
      <c r="A332" s="1"/>
      <c r="B332" s="1"/>
      <c r="C332" s="1"/>
      <c r="D332" s="8"/>
      <c r="E332" s="8"/>
      <c r="F332" s="8"/>
      <c r="G332" s="8"/>
      <c r="H332" s="8"/>
      <c r="I332" s="8"/>
      <c r="J332" s="8"/>
      <c r="K332" s="8"/>
      <c r="L332" s="2"/>
      <c r="M332" s="2"/>
      <c r="N332" s="2"/>
      <c r="O332" s="2"/>
    </row>
    <row r="333" spans="1:15" ht="26.25" customHeight="1" x14ac:dyDescent="0.25">
      <c r="A333" s="1"/>
      <c r="B333" s="1"/>
      <c r="C333" s="1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</row>
    <row r="334" spans="1:15" ht="26.25" customHeight="1" x14ac:dyDescent="0.25">
      <c r="A334" s="1"/>
      <c r="B334" s="1"/>
      <c r="C334" s="1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</row>
    <row r="335" spans="1:15" ht="26.25" customHeight="1" x14ac:dyDescent="0.25">
      <c r="A335" s="1"/>
      <c r="B335" s="1"/>
      <c r="C335" s="1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</row>
    <row r="336" spans="1:15" ht="26.25" customHeight="1" x14ac:dyDescent="0.25">
      <c r="A336" s="1"/>
      <c r="B336" s="1"/>
      <c r="C336" s="1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</row>
    <row r="337" spans="1:15" ht="26.25" customHeight="1" x14ac:dyDescent="0.25">
      <c r="A337" s="1"/>
      <c r="B337" s="1"/>
      <c r="C337" s="1"/>
      <c r="D337" s="8"/>
      <c r="E337" s="8"/>
      <c r="F337" s="8"/>
      <c r="G337" s="8"/>
      <c r="H337" s="8"/>
      <c r="I337" s="8"/>
      <c r="J337" s="8"/>
      <c r="K337" s="8"/>
      <c r="L337" s="2"/>
      <c r="M337" s="2"/>
      <c r="N337" s="2"/>
      <c r="O337" s="2"/>
    </row>
    <row r="338" spans="1:15" ht="26.25" customHeight="1" x14ac:dyDescent="0.25">
      <c r="A338" s="1"/>
      <c r="B338" s="1"/>
      <c r="C338" s="1"/>
      <c r="D338" s="8"/>
      <c r="E338" s="8"/>
      <c r="F338" s="8"/>
      <c r="G338" s="8"/>
      <c r="H338" s="8"/>
      <c r="I338" s="8"/>
      <c r="J338" s="8"/>
      <c r="K338" s="8"/>
      <c r="L338" s="2"/>
      <c r="M338" s="2"/>
      <c r="N338" s="2"/>
      <c r="O338" s="2"/>
    </row>
    <row r="339" spans="1:15" ht="26.25" customHeight="1" x14ac:dyDescent="0.25">
      <c r="A339" s="1"/>
      <c r="B339" s="1"/>
      <c r="C339" s="1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</row>
    <row r="340" spans="1:15" ht="26.25" customHeight="1" x14ac:dyDescent="0.25">
      <c r="A340" s="1"/>
      <c r="B340" s="1"/>
      <c r="C340" s="1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</row>
    <row r="341" spans="1:15" ht="26.25" customHeight="1" x14ac:dyDescent="0.25">
      <c r="A341" s="1"/>
      <c r="B341" s="1"/>
      <c r="C341" s="1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</row>
    <row r="342" spans="1:15" ht="26.25" customHeight="1" x14ac:dyDescent="0.25">
      <c r="A342" s="1"/>
      <c r="B342" s="1"/>
      <c r="C342" s="1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</row>
    <row r="343" spans="1:15" ht="26.25" customHeight="1" x14ac:dyDescent="0.25">
      <c r="A343" s="1"/>
      <c r="B343" s="1"/>
      <c r="C343" s="1"/>
      <c r="D343" s="8"/>
      <c r="E343" s="8"/>
      <c r="F343" s="8"/>
      <c r="G343" s="8"/>
      <c r="H343" s="8"/>
      <c r="I343" s="8"/>
      <c r="J343" s="8"/>
      <c r="K343" s="8"/>
      <c r="L343" s="2"/>
      <c r="M343" s="2"/>
      <c r="N343" s="2"/>
      <c r="O343" s="2"/>
    </row>
    <row r="344" spans="1:15" ht="26.25" customHeight="1" x14ac:dyDescent="0.25">
      <c r="A344" s="1"/>
      <c r="B344" s="1"/>
      <c r="C344" s="1"/>
      <c r="D344" s="8"/>
      <c r="E344" s="8"/>
      <c r="F344" s="8"/>
      <c r="G344" s="8"/>
      <c r="H344" s="8"/>
      <c r="I344" s="8"/>
      <c r="J344" s="8"/>
      <c r="K344" s="8"/>
      <c r="L344" s="2"/>
      <c r="M344" s="2"/>
      <c r="N344" s="2"/>
      <c r="O344" s="2"/>
    </row>
    <row r="345" spans="1:15" ht="26.25" customHeight="1" x14ac:dyDescent="0.25">
      <c r="A345" s="1"/>
      <c r="B345" s="1"/>
      <c r="C345" s="1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</row>
    <row r="346" spans="1:15" ht="26.25" customHeight="1" x14ac:dyDescent="0.25">
      <c r="A346" s="1"/>
      <c r="B346" s="1"/>
      <c r="C346" s="1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</row>
    <row r="347" spans="1:15" ht="26.25" customHeight="1" x14ac:dyDescent="0.25">
      <c r="A347" s="1"/>
      <c r="B347" s="1"/>
      <c r="C347" s="1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</row>
    <row r="348" spans="1:15" ht="26.25" customHeight="1" x14ac:dyDescent="0.25">
      <c r="A348" s="1"/>
      <c r="B348" s="1"/>
      <c r="C348" s="1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</row>
    <row r="349" spans="1:15" ht="26.25" customHeight="1" x14ac:dyDescent="0.25">
      <c r="A349" s="1"/>
      <c r="B349" s="1"/>
      <c r="C349" s="1"/>
      <c r="D349" s="8"/>
      <c r="E349" s="8"/>
      <c r="F349" s="8"/>
      <c r="G349" s="8"/>
      <c r="H349" s="8"/>
      <c r="I349" s="8"/>
      <c r="J349" s="8"/>
      <c r="K349" s="8"/>
      <c r="L349" s="2"/>
      <c r="M349" s="2"/>
      <c r="N349" s="2"/>
      <c r="O349" s="2"/>
    </row>
    <row r="350" spans="1:15" ht="26.25" customHeight="1" x14ac:dyDescent="0.25">
      <c r="A350" s="1"/>
      <c r="B350" s="1"/>
      <c r="C350" s="1"/>
      <c r="D350" s="8"/>
      <c r="E350" s="8"/>
      <c r="F350" s="8"/>
      <c r="G350" s="8"/>
      <c r="H350" s="8"/>
      <c r="I350" s="8"/>
      <c r="J350" s="8"/>
      <c r="K350" s="8"/>
      <c r="L350" s="2"/>
      <c r="M350" s="2"/>
      <c r="N350" s="2"/>
      <c r="O350" s="2"/>
    </row>
    <row r="351" spans="1:15" ht="26.25" customHeight="1" x14ac:dyDescent="0.25">
      <c r="A351" s="1"/>
      <c r="B351" s="1"/>
      <c r="C351" s="1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</row>
    <row r="352" spans="1:15" ht="26.25" customHeight="1" x14ac:dyDescent="0.25">
      <c r="A352" s="1"/>
      <c r="B352" s="1"/>
      <c r="C352" s="1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</row>
    <row r="353" spans="1:15" ht="26.25" customHeight="1" x14ac:dyDescent="0.25">
      <c r="A353" s="1"/>
      <c r="B353" s="1"/>
      <c r="C353" s="1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</row>
    <row r="354" spans="1:15" ht="26.25" customHeight="1" x14ac:dyDescent="0.25">
      <c r="A354" s="1"/>
      <c r="B354" s="1"/>
      <c r="C354" s="1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</row>
    <row r="355" spans="1:15" ht="26.25" customHeight="1" x14ac:dyDescent="0.25">
      <c r="A355" s="1"/>
      <c r="B355" s="1"/>
      <c r="C355" s="1"/>
      <c r="D355" s="8"/>
      <c r="E355" s="8"/>
      <c r="F355" s="8"/>
      <c r="G355" s="8"/>
      <c r="H355" s="8"/>
      <c r="I355" s="8"/>
      <c r="J355" s="8"/>
      <c r="K355" s="8"/>
      <c r="L355" s="2"/>
      <c r="M355" s="2"/>
      <c r="N355" s="2"/>
      <c r="O355" s="2"/>
    </row>
    <row r="356" spans="1:15" ht="26.25" customHeight="1" x14ac:dyDescent="0.25">
      <c r="A356" s="1"/>
      <c r="B356" s="1"/>
      <c r="C356" s="1"/>
      <c r="D356" s="8"/>
      <c r="E356" s="8"/>
      <c r="F356" s="8"/>
      <c r="G356" s="8"/>
      <c r="H356" s="8"/>
      <c r="I356" s="8"/>
      <c r="J356" s="8"/>
      <c r="K356" s="8"/>
      <c r="L356" s="2"/>
      <c r="M356" s="2"/>
      <c r="N356" s="2"/>
      <c r="O356" s="2"/>
    </row>
    <row r="357" spans="1:15" ht="26.25" customHeight="1" x14ac:dyDescent="0.25">
      <c r="A357" s="1"/>
      <c r="B357" s="1"/>
      <c r="C357" s="1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</row>
    <row r="358" spans="1:15" ht="26.25" customHeight="1" x14ac:dyDescent="0.25">
      <c r="A358" s="1"/>
      <c r="B358" s="1"/>
      <c r="C358" s="1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</row>
    <row r="359" spans="1:15" ht="26.25" customHeight="1" x14ac:dyDescent="0.25">
      <c r="A359" s="1"/>
      <c r="B359" s="1"/>
      <c r="C359" s="1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</row>
    <row r="360" spans="1:15" ht="26.25" customHeight="1" x14ac:dyDescent="0.25">
      <c r="A360" s="1"/>
      <c r="B360" s="1"/>
      <c r="C360" s="1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</row>
    <row r="361" spans="1:15" ht="26.25" customHeight="1" x14ac:dyDescent="0.25">
      <c r="A361" s="1"/>
      <c r="B361" s="1"/>
      <c r="C361" s="1"/>
      <c r="D361" s="8"/>
      <c r="E361" s="8"/>
      <c r="F361" s="8"/>
      <c r="G361" s="8"/>
      <c r="H361" s="8"/>
      <c r="I361" s="8"/>
      <c r="J361" s="8"/>
      <c r="K361" s="8"/>
      <c r="L361" s="2"/>
      <c r="M361" s="2"/>
      <c r="N361" s="2"/>
      <c r="O361" s="2"/>
    </row>
    <row r="362" spans="1:15" ht="26.25" customHeight="1" x14ac:dyDescent="0.25">
      <c r="A362" s="1"/>
      <c r="B362" s="1"/>
      <c r="C362" s="1"/>
      <c r="D362" s="8"/>
      <c r="E362" s="8"/>
      <c r="F362" s="8"/>
      <c r="G362" s="8"/>
      <c r="H362" s="8"/>
      <c r="I362" s="8"/>
      <c r="J362" s="8"/>
      <c r="K362" s="8"/>
      <c r="L362" s="2"/>
      <c r="M362" s="2"/>
      <c r="N362" s="2"/>
      <c r="O362" s="2"/>
    </row>
    <row r="363" spans="1:15" ht="26.25" customHeight="1" x14ac:dyDescent="0.25">
      <c r="A363" s="1"/>
      <c r="B363" s="1"/>
      <c r="C363" s="1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</row>
    <row r="364" spans="1:15" ht="26.25" customHeight="1" x14ac:dyDescent="0.25">
      <c r="A364" s="1"/>
      <c r="B364" s="1"/>
      <c r="C364" s="1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</row>
    <row r="365" spans="1:15" ht="26.25" customHeight="1" x14ac:dyDescent="0.25">
      <c r="A365" s="1"/>
      <c r="B365" s="1"/>
      <c r="C365" s="1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</row>
    <row r="366" spans="1:15" ht="26.25" customHeight="1" x14ac:dyDescent="0.25">
      <c r="A366" s="1"/>
      <c r="B366" s="1"/>
      <c r="C366" s="1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</row>
    <row r="367" spans="1:15" ht="26.25" customHeight="1" x14ac:dyDescent="0.25">
      <c r="A367" s="1"/>
      <c r="B367" s="1"/>
      <c r="C367" s="1"/>
      <c r="D367" s="8"/>
      <c r="E367" s="8"/>
      <c r="F367" s="8"/>
      <c r="G367" s="8"/>
      <c r="H367" s="8"/>
      <c r="I367" s="8"/>
      <c r="J367" s="8"/>
      <c r="K367" s="8"/>
      <c r="L367" s="2"/>
      <c r="M367" s="2"/>
      <c r="N367" s="2"/>
      <c r="O367" s="2"/>
    </row>
    <row r="368" spans="1:15" ht="26.25" customHeight="1" x14ac:dyDescent="0.25">
      <c r="A368" s="1"/>
      <c r="B368" s="1"/>
      <c r="C368" s="1"/>
      <c r="D368" s="8"/>
      <c r="E368" s="8"/>
      <c r="F368" s="8"/>
      <c r="G368" s="8"/>
      <c r="H368" s="8"/>
      <c r="I368" s="8"/>
      <c r="J368" s="8"/>
      <c r="K368" s="8"/>
      <c r="L368" s="2"/>
      <c r="M368" s="2"/>
      <c r="N368" s="2"/>
      <c r="O368" s="2"/>
    </row>
    <row r="369" spans="1:15" ht="26.25" customHeight="1" x14ac:dyDescent="0.25">
      <c r="A369" s="1"/>
      <c r="B369" s="1"/>
      <c r="C369" s="1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</row>
    <row r="370" spans="1:15" ht="26.25" customHeight="1" x14ac:dyDescent="0.25">
      <c r="A370" s="1"/>
      <c r="B370" s="1"/>
      <c r="C370" s="1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</row>
    <row r="371" spans="1:15" ht="26.25" customHeight="1" x14ac:dyDescent="0.25">
      <c r="A371" s="1"/>
      <c r="B371" s="1"/>
      <c r="C371" s="1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</row>
    <row r="372" spans="1:15" ht="26.25" customHeight="1" x14ac:dyDescent="0.25">
      <c r="A372" s="1"/>
      <c r="B372" s="1"/>
      <c r="C372" s="1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</row>
    <row r="373" spans="1:15" ht="26.25" customHeight="1" x14ac:dyDescent="0.25">
      <c r="A373" s="1"/>
      <c r="B373" s="1"/>
      <c r="C373" s="1"/>
      <c r="D373" s="8"/>
      <c r="E373" s="8"/>
      <c r="F373" s="8"/>
      <c r="G373" s="8"/>
      <c r="H373" s="8"/>
      <c r="I373" s="8"/>
      <c r="J373" s="8"/>
      <c r="K373" s="8"/>
      <c r="L373" s="2"/>
      <c r="M373" s="2"/>
      <c r="N373" s="2"/>
      <c r="O373" s="2"/>
    </row>
    <row r="374" spans="1:15" ht="26.25" customHeight="1" x14ac:dyDescent="0.25">
      <c r="A374" s="1"/>
      <c r="B374" s="1"/>
      <c r="C374" s="1"/>
      <c r="D374" s="8"/>
      <c r="E374" s="8"/>
      <c r="F374" s="8"/>
      <c r="G374" s="8"/>
      <c r="H374" s="8"/>
      <c r="I374" s="8"/>
      <c r="J374" s="8"/>
      <c r="K374" s="8"/>
      <c r="L374" s="2"/>
      <c r="M374" s="2"/>
      <c r="N374" s="2"/>
      <c r="O374" s="2"/>
    </row>
    <row r="375" spans="1:15" ht="26.25" customHeight="1" x14ac:dyDescent="0.25">
      <c r="A375" s="1"/>
      <c r="B375" s="1"/>
      <c r="C375" s="1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</row>
    <row r="376" spans="1:15" ht="26.25" customHeight="1" x14ac:dyDescent="0.25">
      <c r="A376" s="1"/>
      <c r="B376" s="1"/>
      <c r="C376" s="1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</row>
    <row r="377" spans="1:15" ht="26.25" customHeight="1" x14ac:dyDescent="0.25">
      <c r="A377" s="1"/>
      <c r="B377" s="1"/>
      <c r="C377" s="1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</row>
    <row r="378" spans="1:15" ht="26.25" customHeight="1" x14ac:dyDescent="0.25">
      <c r="A378" s="1"/>
      <c r="B378" s="1"/>
      <c r="C378" s="1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</row>
    <row r="379" spans="1:15" ht="26.25" customHeight="1" x14ac:dyDescent="0.25">
      <c r="A379" s="1"/>
      <c r="B379" s="1"/>
      <c r="C379" s="1"/>
      <c r="D379" s="8"/>
      <c r="E379" s="8"/>
      <c r="F379" s="8"/>
      <c r="G379" s="8"/>
      <c r="H379" s="8"/>
      <c r="I379" s="8"/>
      <c r="J379" s="8"/>
      <c r="K379" s="8"/>
      <c r="L379" s="2"/>
      <c r="M379" s="2"/>
      <c r="N379" s="2"/>
      <c r="O379" s="2"/>
    </row>
    <row r="380" spans="1:15" ht="26.25" customHeight="1" x14ac:dyDescent="0.25">
      <c r="A380" s="1"/>
      <c r="B380" s="1"/>
      <c r="C380" s="1"/>
      <c r="D380" s="8"/>
      <c r="E380" s="8"/>
      <c r="F380" s="8"/>
      <c r="G380" s="8"/>
      <c r="H380" s="8"/>
      <c r="I380" s="8"/>
      <c r="J380" s="8"/>
      <c r="K380" s="8"/>
      <c r="L380" s="2"/>
      <c r="M380" s="2"/>
      <c r="N380" s="2"/>
      <c r="O380" s="2"/>
    </row>
    <row r="381" spans="1:15" ht="26.25" customHeight="1" x14ac:dyDescent="0.25">
      <c r="A381" s="1"/>
      <c r="B381" s="1"/>
      <c r="C381" s="1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</row>
    <row r="382" spans="1:15" ht="26.25" customHeight="1" x14ac:dyDescent="0.25">
      <c r="A382" s="1"/>
      <c r="B382" s="1"/>
      <c r="C382" s="1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</row>
    <row r="383" spans="1:15" ht="26.25" customHeight="1" x14ac:dyDescent="0.25">
      <c r="A383" s="1"/>
      <c r="B383" s="1"/>
      <c r="C383" s="1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</row>
    <row r="384" spans="1:15" ht="26.25" customHeight="1" x14ac:dyDescent="0.25">
      <c r="A384" s="1"/>
      <c r="B384" s="1"/>
      <c r="C384" s="1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</row>
    <row r="385" spans="1:15" ht="26.25" customHeight="1" x14ac:dyDescent="0.25">
      <c r="A385" s="1"/>
      <c r="B385" s="1"/>
      <c r="C385" s="1"/>
      <c r="D385" s="8"/>
      <c r="E385" s="8"/>
      <c r="F385" s="8"/>
      <c r="G385" s="8"/>
      <c r="H385" s="8"/>
      <c r="I385" s="8"/>
      <c r="J385" s="8"/>
      <c r="K385" s="8"/>
      <c r="L385" s="2"/>
      <c r="M385" s="2"/>
      <c r="N385" s="2"/>
      <c r="O385" s="2"/>
    </row>
    <row r="386" spans="1:15" ht="26.25" customHeight="1" x14ac:dyDescent="0.25">
      <c r="A386" s="1"/>
      <c r="B386" s="1"/>
      <c r="C386" s="1"/>
      <c r="D386" s="8"/>
      <c r="E386" s="8"/>
      <c r="F386" s="8"/>
      <c r="G386" s="8"/>
      <c r="H386" s="8"/>
      <c r="I386" s="8"/>
      <c r="J386" s="8"/>
      <c r="K386" s="8"/>
      <c r="L386" s="2"/>
      <c r="M386" s="2"/>
      <c r="N386" s="2"/>
      <c r="O386" s="2"/>
    </row>
    <row r="387" spans="1:15" ht="26.25" customHeight="1" x14ac:dyDescent="0.25">
      <c r="A387" s="1"/>
      <c r="B387" s="1"/>
      <c r="C387" s="1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</row>
    <row r="388" spans="1:15" ht="26.25" customHeight="1" x14ac:dyDescent="0.25">
      <c r="A388" s="1"/>
      <c r="B388" s="1"/>
      <c r="C388" s="1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</row>
    <row r="389" spans="1:15" ht="26.25" customHeight="1" x14ac:dyDescent="0.25">
      <c r="A389" s="1"/>
      <c r="B389" s="1"/>
      <c r="C389" s="1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</row>
    <row r="390" spans="1:15" ht="26.25" customHeight="1" x14ac:dyDescent="0.25">
      <c r="A390" s="1"/>
      <c r="B390" s="1"/>
      <c r="C390" s="1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</row>
    <row r="391" spans="1:15" ht="26.25" customHeight="1" x14ac:dyDescent="0.25">
      <c r="A391" s="1"/>
      <c r="B391" s="1"/>
      <c r="C391" s="1"/>
      <c r="D391" s="8"/>
      <c r="E391" s="8"/>
      <c r="F391" s="8"/>
      <c r="G391" s="8"/>
      <c r="H391" s="8"/>
      <c r="I391" s="8"/>
      <c r="J391" s="8"/>
      <c r="K391" s="8"/>
      <c r="L391" s="2"/>
      <c r="M391" s="2"/>
      <c r="N391" s="2"/>
      <c r="O391" s="2"/>
    </row>
    <row r="392" spans="1:15" ht="26.25" customHeight="1" x14ac:dyDescent="0.25">
      <c r="A392" s="1"/>
      <c r="B392" s="1"/>
      <c r="C392" s="1"/>
      <c r="D392" s="8"/>
      <c r="E392" s="8"/>
      <c r="F392" s="8"/>
      <c r="G392" s="8"/>
      <c r="H392" s="8"/>
      <c r="I392" s="8"/>
      <c r="J392" s="8"/>
      <c r="K392" s="8"/>
      <c r="L392" s="2"/>
      <c r="M392" s="2"/>
      <c r="N392" s="2"/>
      <c r="O392" s="2"/>
    </row>
    <row r="393" spans="1:15" ht="26.25" customHeight="1" x14ac:dyDescent="0.25">
      <c r="A393" s="1"/>
      <c r="B393" s="1"/>
      <c r="C393" s="1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</row>
    <row r="394" spans="1:15" ht="26.25" customHeight="1" x14ac:dyDescent="0.25">
      <c r="A394" s="1"/>
      <c r="B394" s="1"/>
      <c r="C394" s="1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</row>
    <row r="395" spans="1:15" ht="26.25" customHeight="1" x14ac:dyDescent="0.25">
      <c r="A395" s="1"/>
      <c r="B395" s="1"/>
      <c r="C395" s="1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</row>
    <row r="396" spans="1:15" ht="26.25" customHeight="1" x14ac:dyDescent="0.25">
      <c r="A396" s="1"/>
      <c r="B396" s="1"/>
      <c r="C396" s="1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</row>
    <row r="397" spans="1:15" ht="26.25" customHeight="1" x14ac:dyDescent="0.25">
      <c r="A397" s="1"/>
      <c r="B397" s="1"/>
      <c r="C397" s="1"/>
      <c r="D397" s="8"/>
      <c r="E397" s="8"/>
      <c r="F397" s="8"/>
      <c r="G397" s="8"/>
      <c r="H397" s="8"/>
      <c r="I397" s="8"/>
      <c r="J397" s="8"/>
      <c r="K397" s="8"/>
      <c r="L397" s="2"/>
      <c r="M397" s="2"/>
      <c r="N397" s="2"/>
      <c r="O397" s="2"/>
    </row>
    <row r="398" spans="1:15" ht="26.25" customHeight="1" x14ac:dyDescent="0.25">
      <c r="A398" s="1"/>
      <c r="B398" s="1"/>
      <c r="C398" s="1"/>
      <c r="D398" s="8"/>
      <c r="E398" s="8"/>
      <c r="F398" s="8"/>
      <c r="G398" s="8"/>
      <c r="H398" s="8"/>
      <c r="I398" s="8"/>
      <c r="J398" s="8"/>
      <c r="K398" s="8"/>
      <c r="L398" s="2"/>
      <c r="M398" s="2"/>
      <c r="N398" s="2"/>
      <c r="O398" s="2"/>
    </row>
    <row r="399" spans="1:15" ht="26.25" customHeight="1" x14ac:dyDescent="0.25">
      <c r="A399" s="1"/>
      <c r="B399" s="1"/>
      <c r="C399" s="1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</row>
    <row r="400" spans="1:15" ht="26.25" customHeight="1" x14ac:dyDescent="0.25">
      <c r="A400" s="1"/>
      <c r="B400" s="1"/>
      <c r="C400" s="1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</row>
    <row r="401" spans="1:15" ht="26.25" customHeight="1" x14ac:dyDescent="0.25">
      <c r="A401" s="6"/>
      <c r="B401" s="2"/>
      <c r="C401" s="2"/>
      <c r="D401" s="2"/>
      <c r="E401" s="2"/>
      <c r="F401" s="2"/>
      <c r="L401" s="2"/>
      <c r="M401" s="2"/>
      <c r="N401" s="2"/>
      <c r="O401" s="2"/>
    </row>
    <row r="402" spans="1:15" ht="26.25" customHeight="1" x14ac:dyDescent="0.25">
      <c r="A402" s="6"/>
      <c r="B402" s="2"/>
      <c r="C402" s="2"/>
      <c r="D402" s="2"/>
      <c r="E402" s="2"/>
      <c r="F402" s="2"/>
      <c r="L402" s="2"/>
      <c r="M402" s="2"/>
      <c r="N402" s="2"/>
      <c r="O402" s="2"/>
    </row>
    <row r="403" spans="1:15" ht="26.25" customHeight="1" x14ac:dyDescent="0.25">
      <c r="A403" s="6"/>
      <c r="B403" s="2"/>
      <c r="C403" s="2"/>
      <c r="D403" s="2"/>
      <c r="E403" s="2"/>
      <c r="F403" s="2"/>
      <c r="L403" s="2"/>
      <c r="M403" s="2"/>
      <c r="N403" s="2"/>
      <c r="O403" s="2"/>
    </row>
    <row r="404" spans="1:15" ht="26.25" customHeight="1" x14ac:dyDescent="0.25">
      <c r="A404" s="6"/>
      <c r="B404" s="2"/>
      <c r="C404" s="2"/>
      <c r="D404" s="2"/>
      <c r="E404" s="2"/>
      <c r="F404" s="2"/>
      <c r="L404" s="2"/>
      <c r="M404" s="2"/>
      <c r="N404" s="2"/>
      <c r="O404" s="2"/>
    </row>
    <row r="405" spans="1:15" ht="26.25" customHeight="1" x14ac:dyDescent="0.25">
      <c r="A405" s="6"/>
      <c r="B405" s="2"/>
      <c r="C405" s="2"/>
      <c r="D405" s="2"/>
      <c r="E405" s="2"/>
      <c r="F405" s="2"/>
      <c r="L405" s="2"/>
      <c r="M405" s="2"/>
      <c r="N405" s="2"/>
      <c r="O405" s="2"/>
    </row>
    <row r="406" spans="1:15" ht="26.25" customHeight="1" x14ac:dyDescent="0.25">
      <c r="A406" s="6"/>
      <c r="B406" s="2"/>
      <c r="C406" s="2"/>
      <c r="D406" s="2"/>
      <c r="E406" s="2"/>
      <c r="F406" s="2"/>
      <c r="L406" s="2"/>
      <c r="M406" s="2"/>
      <c r="N406" s="2"/>
      <c r="O406" s="2"/>
    </row>
    <row r="407" spans="1:15" ht="26.25" customHeight="1" x14ac:dyDescent="0.25">
      <c r="A407" s="6"/>
      <c r="B407" s="2"/>
      <c r="C407" s="2"/>
      <c r="D407" s="2"/>
      <c r="E407" s="2"/>
      <c r="F407" s="2"/>
      <c r="L407" s="2"/>
      <c r="M407" s="2"/>
      <c r="N407" s="2"/>
      <c r="O407" s="2"/>
    </row>
    <row r="408" spans="1:15" ht="26.25" customHeight="1" x14ac:dyDescent="0.25">
      <c r="A408" s="6"/>
      <c r="B408" s="2"/>
      <c r="C408" s="2"/>
      <c r="D408" s="2"/>
      <c r="E408" s="2"/>
      <c r="F408" s="2"/>
      <c r="L408" s="2"/>
      <c r="M408" s="2"/>
      <c r="N408" s="2"/>
      <c r="O408" s="2"/>
    </row>
    <row r="409" spans="1:15" ht="26.25" customHeight="1" x14ac:dyDescent="0.25">
      <c r="A409" s="6"/>
      <c r="B409" s="2"/>
      <c r="C409" s="2"/>
      <c r="D409" s="2"/>
      <c r="E409" s="2"/>
      <c r="F409" s="2"/>
      <c r="L409" s="2"/>
      <c r="M409" s="2"/>
      <c r="N409" s="2"/>
      <c r="O409" s="2"/>
    </row>
    <row r="410" spans="1:15" ht="26.25" customHeight="1" x14ac:dyDescent="0.25">
      <c r="A410" s="6"/>
      <c r="B410" s="2"/>
      <c r="C410" s="2"/>
      <c r="D410" s="2"/>
      <c r="E410" s="2"/>
      <c r="F410" s="2"/>
      <c r="L410" s="2"/>
      <c r="M410" s="2"/>
      <c r="N410" s="2"/>
      <c r="O410" s="2"/>
    </row>
    <row r="411" spans="1:15" ht="26.25" customHeight="1" x14ac:dyDescent="0.25">
      <c r="A411" s="6"/>
      <c r="B411" s="2"/>
      <c r="C411" s="2"/>
      <c r="D411" s="2"/>
      <c r="E411" s="2"/>
      <c r="F411" s="2"/>
      <c r="L411" s="2"/>
      <c r="M411" s="2"/>
      <c r="N411" s="2"/>
      <c r="O411" s="2"/>
    </row>
    <row r="412" spans="1:15" ht="26.25" customHeight="1" x14ac:dyDescent="0.25">
      <c r="A412" s="6"/>
      <c r="B412" s="2"/>
      <c r="C412" s="2"/>
      <c r="D412" s="2"/>
      <c r="E412" s="2"/>
      <c r="F412" s="2"/>
      <c r="L412" s="2"/>
      <c r="M412" s="2"/>
      <c r="N412" s="2"/>
      <c r="O412" s="2"/>
    </row>
    <row r="413" spans="1:15" ht="26.25" customHeight="1" x14ac:dyDescent="0.25">
      <c r="A413" s="6"/>
      <c r="B413" s="2"/>
      <c r="C413" s="2"/>
      <c r="D413" s="2"/>
      <c r="E413" s="2"/>
      <c r="F413" s="2"/>
      <c r="L413" s="2"/>
      <c r="M413" s="2"/>
      <c r="N413" s="2"/>
      <c r="O413" s="2"/>
    </row>
    <row r="414" spans="1:15" ht="26.25" customHeight="1" x14ac:dyDescent="0.25">
      <c r="A414" s="6"/>
      <c r="B414" s="2"/>
      <c r="C414" s="2"/>
      <c r="D414" s="2"/>
      <c r="E414" s="2"/>
      <c r="F414" s="2"/>
      <c r="L414" s="2"/>
      <c r="M414" s="2"/>
      <c r="N414" s="2"/>
      <c r="O414" s="2"/>
    </row>
    <row r="415" spans="1:15" ht="26.25" customHeight="1" x14ac:dyDescent="0.25">
      <c r="A415" s="6"/>
      <c r="B415" s="2"/>
      <c r="C415" s="2"/>
      <c r="D415" s="2"/>
      <c r="E415" s="2"/>
      <c r="F415" s="2"/>
      <c r="L415" s="2"/>
      <c r="M415" s="2"/>
      <c r="N415" s="2"/>
      <c r="O415" s="2"/>
    </row>
    <row r="416" spans="1:15" ht="26.25" customHeight="1" x14ac:dyDescent="0.25">
      <c r="A416" s="6"/>
      <c r="B416" s="2"/>
      <c r="C416" s="2"/>
      <c r="D416" s="2"/>
      <c r="E416" s="2"/>
      <c r="F416" s="2"/>
      <c r="L416" s="2"/>
      <c r="M416" s="2"/>
      <c r="N416" s="2"/>
      <c r="O416" s="2"/>
    </row>
    <row r="417" spans="1:15" ht="26.25" customHeight="1" x14ac:dyDescent="0.25">
      <c r="A417" s="6"/>
      <c r="B417" s="2"/>
      <c r="C417" s="2"/>
      <c r="D417" s="2"/>
      <c r="E417" s="2"/>
      <c r="F417" s="2"/>
      <c r="L417" s="2"/>
      <c r="M417" s="2"/>
      <c r="N417" s="2"/>
      <c r="O417" s="2"/>
    </row>
    <row r="418" spans="1:15" ht="26.25" customHeight="1" x14ac:dyDescent="0.25">
      <c r="A418" s="6"/>
      <c r="B418" s="2"/>
      <c r="C418" s="2"/>
      <c r="D418" s="2"/>
      <c r="E418" s="2"/>
      <c r="F418" s="2"/>
      <c r="L418" s="2"/>
      <c r="M418" s="2"/>
      <c r="N418" s="2"/>
      <c r="O418" s="2"/>
    </row>
    <row r="419" spans="1:15" ht="26.25" customHeight="1" x14ac:dyDescent="0.25">
      <c r="A419" s="6"/>
      <c r="B419" s="2"/>
      <c r="C419" s="2"/>
      <c r="D419" s="2"/>
      <c r="E419" s="2"/>
      <c r="F419" s="2"/>
      <c r="L419" s="2"/>
      <c r="M419" s="2"/>
      <c r="N419" s="2"/>
      <c r="O419" s="2"/>
    </row>
    <row r="420" spans="1:15" ht="26.25" customHeight="1" x14ac:dyDescent="0.25">
      <c r="A420" s="6"/>
      <c r="B420" s="2"/>
      <c r="C420" s="2"/>
      <c r="D420" s="2"/>
      <c r="E420" s="2"/>
      <c r="F420" s="2"/>
      <c r="L420" s="2"/>
      <c r="M420" s="2"/>
      <c r="N420" s="2"/>
      <c r="O420" s="2"/>
    </row>
    <row r="421" spans="1:15" ht="26.25" customHeight="1" x14ac:dyDescent="0.25">
      <c r="A421" s="6"/>
      <c r="B421" s="2"/>
      <c r="C421" s="2"/>
      <c r="D421" s="2"/>
      <c r="E421" s="2"/>
      <c r="F421" s="2"/>
      <c r="L421" s="2"/>
      <c r="M421" s="2"/>
      <c r="N421" s="2"/>
      <c r="O421" s="2"/>
    </row>
    <row r="422" spans="1:15" ht="26.25" customHeight="1" x14ac:dyDescent="0.25">
      <c r="A422" s="6"/>
      <c r="B422" s="2"/>
      <c r="C422" s="2"/>
      <c r="D422" s="2"/>
      <c r="E422" s="2"/>
      <c r="F422" s="2"/>
      <c r="L422" s="2"/>
      <c r="M422" s="2"/>
      <c r="N422" s="2"/>
      <c r="O422" s="2"/>
    </row>
    <row r="423" spans="1:15" ht="26.25" customHeight="1" x14ac:dyDescent="0.25">
      <c r="A423" s="6"/>
      <c r="B423" s="2"/>
      <c r="C423" s="2"/>
      <c r="D423" s="2"/>
      <c r="E423" s="2"/>
      <c r="F423" s="2"/>
      <c r="L423" s="2"/>
      <c r="M423" s="2"/>
      <c r="N423" s="2"/>
      <c r="O423" s="2"/>
    </row>
    <row r="424" spans="1:15" ht="26.25" customHeight="1" x14ac:dyDescent="0.25">
      <c r="A424" s="6"/>
      <c r="B424" s="2"/>
      <c r="C424" s="2"/>
      <c r="D424" s="2"/>
      <c r="E424" s="2"/>
      <c r="F424" s="2"/>
      <c r="L424" s="2"/>
      <c r="M424" s="2"/>
      <c r="N424" s="2"/>
      <c r="O424" s="2"/>
    </row>
    <row r="425" spans="1:15" ht="26.25" customHeight="1" x14ac:dyDescent="0.25">
      <c r="A425" s="6"/>
      <c r="B425" s="2"/>
      <c r="C425" s="2"/>
      <c r="D425" s="2"/>
      <c r="E425" s="2"/>
      <c r="F425" s="2"/>
      <c r="L425" s="2"/>
      <c r="M425" s="2"/>
      <c r="N425" s="2"/>
      <c r="O425" s="2"/>
    </row>
    <row r="426" spans="1:15" ht="26.25" customHeight="1" x14ac:dyDescent="0.25">
      <c r="A426" s="6"/>
      <c r="B426" s="2"/>
      <c r="C426" s="2"/>
      <c r="D426" s="2"/>
      <c r="E426" s="2"/>
      <c r="F426" s="2"/>
      <c r="L426" s="2"/>
      <c r="M426" s="2"/>
      <c r="N426" s="2"/>
      <c r="O426" s="2"/>
    </row>
    <row r="427" spans="1:15" ht="26.25" customHeight="1" x14ac:dyDescent="0.25">
      <c r="A427" s="6"/>
      <c r="B427" s="2"/>
      <c r="C427" s="2"/>
      <c r="D427" s="2"/>
      <c r="E427" s="2"/>
      <c r="F427" s="2"/>
      <c r="L427" s="2"/>
      <c r="M427" s="2"/>
      <c r="N427" s="2"/>
      <c r="O427" s="2"/>
    </row>
    <row r="428" spans="1:15" ht="26.25" customHeight="1" x14ac:dyDescent="0.25">
      <c r="A428" s="6"/>
      <c r="B428" s="2"/>
      <c r="C428" s="2"/>
      <c r="D428" s="2"/>
      <c r="E428" s="2"/>
      <c r="F428" s="2"/>
      <c r="L428" s="2"/>
      <c r="M428" s="2"/>
      <c r="N428" s="2"/>
      <c r="O428" s="2"/>
    </row>
    <row r="429" spans="1:15" ht="26.25" customHeight="1" x14ac:dyDescent="0.25">
      <c r="A429" s="6"/>
      <c r="B429" s="2"/>
      <c r="C429" s="2"/>
      <c r="D429" s="2"/>
      <c r="E429" s="2"/>
      <c r="F429" s="2"/>
      <c r="L429" s="2"/>
      <c r="M429" s="2"/>
      <c r="N429" s="2"/>
      <c r="O429" s="2"/>
    </row>
    <row r="430" spans="1:15" ht="26.25" customHeight="1" x14ac:dyDescent="0.25">
      <c r="A430" s="6"/>
      <c r="B430" s="2"/>
      <c r="C430" s="2"/>
      <c r="D430" s="2"/>
      <c r="E430" s="2"/>
      <c r="F430" s="2"/>
      <c r="L430" s="2"/>
      <c r="M430" s="2"/>
      <c r="N430" s="2"/>
      <c r="O430" s="2"/>
    </row>
    <row r="431" spans="1:15" ht="26.25" customHeight="1" x14ac:dyDescent="0.25">
      <c r="A431" s="6"/>
      <c r="B431" s="2"/>
      <c r="C431" s="2"/>
      <c r="D431" s="2"/>
      <c r="E431" s="2"/>
      <c r="F431" s="2"/>
      <c r="L431" s="2"/>
      <c r="M431" s="2"/>
      <c r="N431" s="2"/>
      <c r="O431" s="2"/>
    </row>
    <row r="432" spans="1:15" ht="26.25" customHeight="1" x14ac:dyDescent="0.25">
      <c r="A432" s="6"/>
      <c r="B432" s="2"/>
      <c r="C432" s="2"/>
      <c r="D432" s="2"/>
      <c r="E432" s="2"/>
      <c r="F432" s="2"/>
      <c r="L432" s="2"/>
      <c r="M432" s="2"/>
      <c r="N432" s="2"/>
      <c r="O432" s="2"/>
    </row>
    <row r="433" spans="1:15" ht="26.25" customHeight="1" x14ac:dyDescent="0.25">
      <c r="A433" s="6"/>
      <c r="B433" s="2"/>
      <c r="C433" s="2"/>
      <c r="D433" s="2"/>
      <c r="E433" s="2"/>
      <c r="F433" s="2"/>
      <c r="L433" s="2"/>
      <c r="M433" s="2"/>
      <c r="N433" s="2"/>
      <c r="O433" s="2"/>
    </row>
    <row r="434" spans="1:15" ht="26.25" customHeight="1" x14ac:dyDescent="0.25">
      <c r="A434" s="6"/>
      <c r="B434" s="2"/>
      <c r="C434" s="2"/>
      <c r="D434" s="2"/>
      <c r="E434" s="2"/>
      <c r="F434" s="2"/>
      <c r="L434" s="2"/>
      <c r="M434" s="2"/>
      <c r="N434" s="2"/>
      <c r="O434" s="2"/>
    </row>
    <row r="435" spans="1:15" ht="26.25" customHeight="1" x14ac:dyDescent="0.25">
      <c r="A435" s="6"/>
      <c r="B435" s="2"/>
      <c r="C435" s="2"/>
      <c r="D435" s="2"/>
      <c r="E435" s="2"/>
      <c r="F435" s="2"/>
      <c r="L435" s="2"/>
      <c r="M435" s="2"/>
      <c r="N435" s="2"/>
      <c r="O435" s="2"/>
    </row>
    <row r="436" spans="1:15" ht="26.25" customHeight="1" x14ac:dyDescent="0.25">
      <c r="A436" s="6"/>
      <c r="B436" s="2"/>
      <c r="C436" s="2"/>
      <c r="D436" s="2"/>
      <c r="E436" s="2"/>
      <c r="F436" s="2"/>
      <c r="L436" s="2"/>
      <c r="M436" s="2"/>
      <c r="N436" s="2"/>
      <c r="O436" s="2"/>
    </row>
    <row r="437" spans="1:15" ht="26.25" customHeight="1" x14ac:dyDescent="0.25">
      <c r="A437" s="6"/>
      <c r="B437" s="2"/>
      <c r="C437" s="2"/>
      <c r="D437" s="2"/>
      <c r="E437" s="2"/>
      <c r="F437" s="2"/>
      <c r="L437" s="2"/>
      <c r="M437" s="2"/>
      <c r="N437" s="2"/>
      <c r="O437" s="2"/>
    </row>
    <row r="438" spans="1:15" ht="26.25" customHeight="1" x14ac:dyDescent="0.25">
      <c r="A438" s="6"/>
      <c r="B438" s="2"/>
      <c r="C438" s="2"/>
      <c r="D438" s="2"/>
      <c r="E438" s="2"/>
      <c r="F438" s="2"/>
      <c r="L438" s="2"/>
      <c r="M438" s="2"/>
      <c r="N438" s="2"/>
      <c r="O438" s="2"/>
    </row>
    <row r="439" spans="1:15" ht="26.25" customHeight="1" x14ac:dyDescent="0.25">
      <c r="A439" s="6"/>
      <c r="B439" s="2"/>
      <c r="C439" s="2"/>
      <c r="D439" s="2"/>
      <c r="E439" s="2"/>
      <c r="F439" s="2"/>
      <c r="L439" s="2"/>
      <c r="M439" s="2"/>
      <c r="N439" s="2"/>
      <c r="O439" s="2"/>
    </row>
    <row r="440" spans="1:15" ht="26.25" customHeight="1" x14ac:dyDescent="0.25">
      <c r="A440" s="6"/>
      <c r="B440" s="2"/>
      <c r="C440" s="2"/>
      <c r="D440" s="2"/>
      <c r="E440" s="2"/>
      <c r="F440" s="2"/>
      <c r="L440" s="2"/>
      <c r="M440" s="2"/>
      <c r="N440" s="2"/>
      <c r="O440" s="2"/>
    </row>
    <row r="441" spans="1:15" ht="26.25" customHeight="1" x14ac:dyDescent="0.25">
      <c r="A441" s="6"/>
      <c r="B441" s="2"/>
      <c r="C441" s="2"/>
      <c r="D441" s="2"/>
      <c r="E441" s="2"/>
      <c r="F441" s="2"/>
      <c r="L441" s="2"/>
      <c r="M441" s="2"/>
      <c r="N441" s="2"/>
      <c r="O441" s="2"/>
    </row>
    <row r="442" spans="1:15" ht="26.25" customHeight="1" x14ac:dyDescent="0.25">
      <c r="A442" s="6"/>
      <c r="B442" s="2"/>
      <c r="C442" s="2"/>
      <c r="D442" s="2"/>
      <c r="E442" s="2"/>
      <c r="F442" s="2"/>
      <c r="L442" s="2"/>
      <c r="M442" s="2"/>
      <c r="N442" s="2"/>
      <c r="O442" s="2"/>
    </row>
    <row r="443" spans="1:15" ht="26.25" customHeight="1" x14ac:dyDescent="0.25">
      <c r="A443" s="6"/>
      <c r="B443" s="2"/>
      <c r="C443" s="2"/>
      <c r="D443" s="2"/>
      <c r="E443" s="2"/>
      <c r="F443" s="2"/>
      <c r="L443" s="2"/>
      <c r="M443" s="2"/>
      <c r="N443" s="2"/>
      <c r="O443" s="2"/>
    </row>
    <row r="444" spans="1:15" ht="26.25" customHeight="1" x14ac:dyDescent="0.25">
      <c r="A444" s="6"/>
      <c r="B444" s="2"/>
      <c r="C444" s="2"/>
      <c r="D444" s="2"/>
      <c r="E444" s="2"/>
      <c r="F444" s="2"/>
      <c r="L444" s="2"/>
      <c r="M444" s="2"/>
      <c r="N444" s="2"/>
      <c r="O444" s="2"/>
    </row>
    <row r="445" spans="1:15" ht="26.25" customHeight="1" x14ac:dyDescent="0.25">
      <c r="A445" s="6"/>
      <c r="B445" s="2"/>
      <c r="C445" s="2"/>
      <c r="D445" s="2"/>
      <c r="E445" s="2"/>
      <c r="F445" s="2"/>
      <c r="L445" s="2"/>
      <c r="M445" s="2"/>
      <c r="N445" s="2"/>
      <c r="O445" s="2"/>
    </row>
    <row r="446" spans="1:15" ht="26.25" customHeight="1" x14ac:dyDescent="0.25">
      <c r="A446" s="6"/>
      <c r="B446" s="2"/>
      <c r="C446" s="2"/>
      <c r="D446" s="2"/>
      <c r="E446" s="2"/>
      <c r="F446" s="2"/>
      <c r="L446" s="2"/>
      <c r="M446" s="2"/>
      <c r="N446" s="2"/>
      <c r="O446" s="2"/>
    </row>
    <row r="447" spans="1:15" ht="26.25" customHeight="1" x14ac:dyDescent="0.25">
      <c r="A447" s="6"/>
      <c r="B447" s="2"/>
      <c r="C447" s="2"/>
      <c r="D447" s="2"/>
      <c r="E447" s="2"/>
      <c r="F447" s="2"/>
      <c r="L447" s="2"/>
      <c r="M447" s="2"/>
      <c r="N447" s="2"/>
      <c r="O447" s="2"/>
    </row>
    <row r="448" spans="1:15" ht="26.25" customHeight="1" x14ac:dyDescent="0.25">
      <c r="A448" s="6"/>
      <c r="B448" s="2"/>
      <c r="C448" s="2"/>
      <c r="D448" s="2"/>
      <c r="E448" s="2"/>
      <c r="F448" s="2"/>
      <c r="L448" s="2"/>
      <c r="M448" s="2"/>
      <c r="N448" s="2"/>
      <c r="O448" s="2"/>
    </row>
    <row r="449" spans="1:15" ht="26.25" customHeight="1" x14ac:dyDescent="0.25">
      <c r="A449" s="6"/>
      <c r="B449" s="2"/>
      <c r="C449" s="2"/>
      <c r="D449" s="2"/>
      <c r="E449" s="2"/>
      <c r="F449" s="2"/>
      <c r="L449" s="2"/>
      <c r="M449" s="2"/>
      <c r="N449" s="2"/>
      <c r="O449" s="2"/>
    </row>
    <row r="450" spans="1:15" ht="26.25" customHeight="1" x14ac:dyDescent="0.25">
      <c r="A450" s="6"/>
      <c r="B450" s="2"/>
      <c r="C450" s="2"/>
      <c r="D450" s="2"/>
      <c r="E450" s="2"/>
      <c r="F450" s="2"/>
      <c r="L450" s="2"/>
      <c r="M450" s="2"/>
      <c r="N450" s="2"/>
      <c r="O450" s="2"/>
    </row>
    <row r="451" spans="1:15" ht="26.25" customHeight="1" x14ac:dyDescent="0.25">
      <c r="A451" s="6"/>
      <c r="B451" s="2"/>
      <c r="C451" s="2"/>
      <c r="D451" s="2"/>
      <c r="E451" s="2"/>
      <c r="F451" s="2"/>
      <c r="L451" s="2"/>
      <c r="M451" s="2"/>
      <c r="N451" s="2"/>
      <c r="O451" s="2"/>
    </row>
    <row r="452" spans="1:15" ht="26.25" customHeight="1" x14ac:dyDescent="0.25">
      <c r="A452" s="6"/>
      <c r="B452" s="2"/>
      <c r="C452" s="2"/>
      <c r="D452" s="2"/>
      <c r="E452" s="2"/>
      <c r="F452" s="2"/>
      <c r="L452" s="2"/>
      <c r="M452" s="2"/>
      <c r="N452" s="2"/>
      <c r="O452" s="2"/>
    </row>
    <row r="453" spans="1:15" ht="26.25" customHeight="1" x14ac:dyDescent="0.25">
      <c r="A453" s="6"/>
      <c r="B453" s="2"/>
      <c r="C453" s="2"/>
      <c r="D453" s="2"/>
      <c r="E453" s="2"/>
      <c r="F453" s="2"/>
      <c r="L453" s="2"/>
      <c r="M453" s="2"/>
      <c r="N453" s="2"/>
      <c r="O453" s="2"/>
    </row>
    <row r="454" spans="1:15" ht="26.25" customHeight="1" x14ac:dyDescent="0.25">
      <c r="A454" s="6"/>
      <c r="B454" s="2"/>
      <c r="C454" s="2"/>
      <c r="D454" s="2"/>
      <c r="E454" s="2"/>
      <c r="F454" s="2"/>
      <c r="L454" s="2"/>
      <c r="M454" s="2"/>
      <c r="N454" s="2"/>
      <c r="O454" s="2"/>
    </row>
    <row r="455" spans="1:15" ht="26.25" customHeight="1" x14ac:dyDescent="0.25">
      <c r="A455" s="6"/>
      <c r="B455" s="2"/>
      <c r="C455" s="2"/>
      <c r="D455" s="2"/>
      <c r="E455" s="2"/>
      <c r="F455" s="2"/>
      <c r="L455" s="2"/>
      <c r="M455" s="2"/>
      <c r="N455" s="2"/>
      <c r="O455" s="2"/>
    </row>
    <row r="456" spans="1:15" ht="26.25" customHeight="1" x14ac:dyDescent="0.25">
      <c r="A456" s="6"/>
      <c r="B456" s="2"/>
      <c r="C456" s="2"/>
      <c r="D456" s="2"/>
      <c r="E456" s="2"/>
      <c r="F456" s="2"/>
      <c r="L456" s="2"/>
      <c r="M456" s="2"/>
      <c r="N456" s="2"/>
      <c r="O456" s="2"/>
    </row>
    <row r="457" spans="1:15" ht="26.25" customHeight="1" x14ac:dyDescent="0.25">
      <c r="A457" s="6"/>
      <c r="B457" s="2"/>
      <c r="C457" s="2"/>
      <c r="D457" s="2"/>
      <c r="E457" s="2"/>
      <c r="F457" s="2"/>
      <c r="L457" s="2"/>
      <c r="M457" s="2"/>
      <c r="N457" s="2"/>
      <c r="O457" s="2"/>
    </row>
    <row r="458" spans="1:15" ht="26.25" customHeight="1" x14ac:dyDescent="0.25">
      <c r="A458" s="6"/>
      <c r="B458" s="2"/>
      <c r="C458" s="2"/>
      <c r="D458" s="2"/>
      <c r="E458" s="2"/>
      <c r="F458" s="2"/>
      <c r="L458" s="2"/>
      <c r="M458" s="2"/>
      <c r="N458" s="2"/>
      <c r="O458" s="2"/>
    </row>
    <row r="459" spans="1:15" ht="26.25" customHeight="1" x14ac:dyDescent="0.25">
      <c r="A459" s="6"/>
      <c r="B459" s="2"/>
      <c r="C459" s="2"/>
      <c r="D459" s="2"/>
      <c r="E459" s="2"/>
      <c r="F459" s="2"/>
      <c r="L459" s="2"/>
      <c r="M459" s="2"/>
      <c r="N459" s="2"/>
      <c r="O459" s="2"/>
    </row>
    <row r="460" spans="1:15" ht="26.25" customHeight="1" x14ac:dyDescent="0.25">
      <c r="A460" s="6"/>
      <c r="B460" s="2"/>
      <c r="C460" s="2"/>
      <c r="D460" s="2"/>
      <c r="E460" s="2"/>
      <c r="F460" s="2"/>
      <c r="L460" s="2"/>
      <c r="M460" s="2"/>
      <c r="N460" s="2"/>
      <c r="O460" s="2"/>
    </row>
    <row r="461" spans="1:15" ht="26.25" customHeight="1" x14ac:dyDescent="0.25">
      <c r="A461" s="6"/>
      <c r="B461" s="2"/>
      <c r="C461" s="2"/>
      <c r="D461" s="2"/>
      <c r="E461" s="2"/>
      <c r="F461" s="2"/>
      <c r="L461" s="2"/>
      <c r="M461" s="2"/>
      <c r="N461" s="2"/>
      <c r="O461" s="2"/>
    </row>
    <row r="462" spans="1:15" ht="26.25" customHeight="1" x14ac:dyDescent="0.25">
      <c r="A462" s="6"/>
      <c r="B462" s="2"/>
      <c r="C462" s="2"/>
      <c r="D462" s="2"/>
      <c r="E462" s="2"/>
      <c r="F462" s="2"/>
      <c r="L462" s="2"/>
      <c r="M462" s="2"/>
      <c r="N462" s="2"/>
      <c r="O462" s="2"/>
    </row>
    <row r="463" spans="1:15" ht="26.25" customHeight="1" x14ac:dyDescent="0.25">
      <c r="A463" s="6"/>
      <c r="B463" s="2"/>
      <c r="C463" s="2"/>
      <c r="D463" s="2"/>
      <c r="E463" s="2"/>
      <c r="F463" s="2"/>
      <c r="L463" s="2"/>
      <c r="M463" s="2"/>
      <c r="N463" s="2"/>
      <c r="O463" s="2"/>
    </row>
    <row r="464" spans="1:15" ht="26.25" customHeight="1" x14ac:dyDescent="0.25">
      <c r="A464" s="6"/>
      <c r="B464" s="2"/>
      <c r="C464" s="2"/>
      <c r="D464" s="2"/>
      <c r="E464" s="2"/>
      <c r="F464" s="2"/>
      <c r="L464" s="2"/>
      <c r="M464" s="2"/>
      <c r="N464" s="2"/>
      <c r="O464" s="2"/>
    </row>
    <row r="465" spans="1:15" ht="26.25" customHeight="1" x14ac:dyDescent="0.25">
      <c r="A465" s="6"/>
      <c r="B465" s="2"/>
      <c r="C465" s="2"/>
      <c r="D465" s="2"/>
      <c r="E465" s="2"/>
      <c r="F465" s="2"/>
      <c r="L465" s="2"/>
      <c r="M465" s="2"/>
      <c r="N465" s="2"/>
      <c r="O465" s="2"/>
    </row>
    <row r="466" spans="1:15" ht="26.25" customHeight="1" x14ac:dyDescent="0.25">
      <c r="A466" s="6"/>
      <c r="B466" s="2"/>
      <c r="C466" s="2"/>
      <c r="D466" s="2"/>
      <c r="E466" s="2"/>
      <c r="F466" s="2"/>
      <c r="L466" s="2"/>
      <c r="M466" s="2"/>
      <c r="N466" s="2"/>
      <c r="O466" s="2"/>
    </row>
    <row r="467" spans="1:15" ht="26.25" customHeight="1" x14ac:dyDescent="0.25">
      <c r="A467" s="6"/>
      <c r="B467" s="2"/>
      <c r="C467" s="2"/>
      <c r="D467" s="2"/>
      <c r="E467" s="2"/>
      <c r="F467" s="2"/>
      <c r="L467" s="2"/>
      <c r="M467" s="2"/>
      <c r="N467" s="2"/>
      <c r="O467" s="2"/>
    </row>
    <row r="468" spans="1:15" ht="26.25" customHeight="1" x14ac:dyDescent="0.25">
      <c r="A468" s="6"/>
      <c r="B468" s="2"/>
      <c r="C468" s="2"/>
      <c r="D468" s="2"/>
      <c r="E468" s="2"/>
      <c r="F468" s="2"/>
      <c r="L468" s="2"/>
      <c r="M468" s="2"/>
      <c r="N468" s="2"/>
      <c r="O468" s="2"/>
    </row>
    <row r="469" spans="1:15" ht="26.25" customHeight="1" x14ac:dyDescent="0.25">
      <c r="A469" s="6"/>
      <c r="B469" s="2"/>
      <c r="C469" s="2"/>
      <c r="D469" s="2"/>
      <c r="E469" s="2"/>
      <c r="F469" s="2"/>
      <c r="L469" s="2"/>
      <c r="M469" s="2"/>
      <c r="N469" s="2"/>
      <c r="O469" s="2"/>
    </row>
    <row r="470" spans="1:15" ht="26.25" customHeight="1" x14ac:dyDescent="0.25">
      <c r="A470" s="6"/>
      <c r="B470" s="2"/>
      <c r="C470" s="2"/>
      <c r="D470" s="2"/>
      <c r="E470" s="2"/>
      <c r="F470" s="2"/>
      <c r="L470" s="2"/>
      <c r="M470" s="2"/>
      <c r="N470" s="2"/>
      <c r="O470" s="2"/>
    </row>
    <row r="471" spans="1:15" ht="26.25" customHeight="1" x14ac:dyDescent="0.25">
      <c r="A471" s="6"/>
      <c r="B471" s="2"/>
      <c r="C471" s="2"/>
      <c r="D471" s="2"/>
      <c r="E471" s="2"/>
      <c r="F471" s="2"/>
      <c r="L471" s="2"/>
      <c r="M471" s="2"/>
      <c r="N471" s="2"/>
      <c r="O471" s="2"/>
    </row>
    <row r="472" spans="1:15" ht="26.25" customHeight="1" x14ac:dyDescent="0.25">
      <c r="A472" s="6"/>
      <c r="B472" s="2"/>
      <c r="C472" s="2"/>
      <c r="D472" s="2"/>
      <c r="E472" s="2"/>
      <c r="F472" s="2"/>
      <c r="L472" s="2"/>
      <c r="M472" s="2"/>
      <c r="N472" s="2"/>
      <c r="O472" s="2"/>
    </row>
    <row r="473" spans="1:15" ht="26.25" customHeight="1" x14ac:dyDescent="0.25">
      <c r="A473" s="6"/>
      <c r="B473" s="2"/>
      <c r="C473" s="2"/>
      <c r="D473" s="2"/>
      <c r="E473" s="2"/>
      <c r="F473" s="2"/>
      <c r="L473" s="2"/>
      <c r="M473" s="2"/>
      <c r="N473" s="2"/>
      <c r="O473" s="2"/>
    </row>
    <row r="474" spans="1:15" ht="26.25" customHeight="1" x14ac:dyDescent="0.25">
      <c r="A474" s="6"/>
      <c r="B474" s="2"/>
      <c r="C474" s="2"/>
      <c r="D474" s="2"/>
      <c r="E474" s="2"/>
      <c r="F474" s="2"/>
      <c r="L474" s="2"/>
      <c r="M474" s="2"/>
      <c r="N474" s="2"/>
      <c r="O474" s="2"/>
    </row>
    <row r="475" spans="1:15" ht="26.25" customHeight="1" x14ac:dyDescent="0.25">
      <c r="A475" s="6"/>
      <c r="B475" s="2"/>
      <c r="C475" s="2"/>
      <c r="D475" s="2"/>
      <c r="E475" s="2"/>
      <c r="F475" s="2"/>
      <c r="L475" s="2"/>
      <c r="M475" s="2"/>
      <c r="N475" s="2"/>
      <c r="O475" s="2"/>
    </row>
    <row r="476" spans="1:15" ht="26.25" customHeight="1" x14ac:dyDescent="0.25">
      <c r="A476" s="6"/>
      <c r="B476" s="2"/>
      <c r="C476" s="2"/>
      <c r="D476" s="2"/>
      <c r="E476" s="2"/>
      <c r="F476" s="2"/>
      <c r="L476" s="2"/>
      <c r="M476" s="2"/>
      <c r="N476" s="2"/>
      <c r="O476" s="2"/>
    </row>
    <row r="477" spans="1:15" ht="26.25" customHeight="1" x14ac:dyDescent="0.25">
      <c r="A477" s="6"/>
      <c r="B477" s="2"/>
      <c r="C477" s="2"/>
      <c r="D477" s="2"/>
      <c r="E477" s="2"/>
      <c r="F477" s="2"/>
      <c r="L477" s="2"/>
      <c r="M477" s="2"/>
      <c r="N477" s="2"/>
      <c r="O477" s="2"/>
    </row>
    <row r="478" spans="1:15" ht="26.25" customHeight="1" x14ac:dyDescent="0.25">
      <c r="A478" s="6"/>
      <c r="B478" s="2"/>
      <c r="C478" s="2"/>
      <c r="D478" s="2"/>
      <c r="E478" s="2"/>
      <c r="F478" s="2"/>
      <c r="L478" s="2"/>
      <c r="M478" s="2"/>
      <c r="N478" s="2"/>
      <c r="O478" s="2"/>
    </row>
    <row r="479" spans="1:15" ht="26.25" customHeight="1" x14ac:dyDescent="0.25">
      <c r="A479" s="6"/>
      <c r="B479" s="2"/>
      <c r="C479" s="2"/>
      <c r="D479" s="2"/>
      <c r="E479" s="2"/>
      <c r="F479" s="2"/>
      <c r="L479" s="2"/>
      <c r="M479" s="2"/>
      <c r="N479" s="2"/>
      <c r="O479" s="2"/>
    </row>
    <row r="480" spans="1:15" ht="26.25" customHeight="1" x14ac:dyDescent="0.25">
      <c r="A480" s="6"/>
      <c r="B480" s="2"/>
      <c r="C480" s="2"/>
      <c r="D480" s="2"/>
      <c r="E480" s="2"/>
      <c r="F480" s="2"/>
      <c r="L480" s="2"/>
      <c r="M480" s="2"/>
      <c r="N480" s="2"/>
      <c r="O480" s="2"/>
    </row>
    <row r="481" spans="1:15" ht="26.25" customHeight="1" x14ac:dyDescent="0.25">
      <c r="A481" s="6"/>
      <c r="B481" s="2"/>
      <c r="C481" s="2"/>
      <c r="D481" s="2"/>
      <c r="E481" s="2"/>
      <c r="F481" s="2"/>
      <c r="L481" s="2"/>
      <c r="M481" s="2"/>
      <c r="N481" s="2"/>
      <c r="O481" s="2"/>
    </row>
    <row r="482" spans="1:15" ht="26.25" customHeight="1" x14ac:dyDescent="0.25">
      <c r="A482" s="6"/>
      <c r="B482" s="2"/>
      <c r="C482" s="2"/>
      <c r="D482" s="2"/>
      <c r="E482" s="2"/>
      <c r="F482" s="2"/>
      <c r="L482" s="2"/>
      <c r="M482" s="2"/>
      <c r="N482" s="2"/>
      <c r="O482" s="2"/>
    </row>
    <row r="483" spans="1:15" ht="26.25" customHeight="1" x14ac:dyDescent="0.25">
      <c r="A483" s="6"/>
      <c r="B483" s="2"/>
      <c r="C483" s="2"/>
      <c r="D483" s="2"/>
      <c r="E483" s="2"/>
      <c r="F483" s="2"/>
      <c r="L483" s="2"/>
      <c r="M483" s="2"/>
      <c r="N483" s="2"/>
      <c r="O483" s="2"/>
    </row>
    <row r="484" spans="1:15" ht="26.25" customHeight="1" x14ac:dyDescent="0.25">
      <c r="A484" s="6"/>
      <c r="B484" s="2"/>
      <c r="C484" s="2"/>
      <c r="D484" s="2"/>
      <c r="E484" s="2"/>
      <c r="F484" s="2"/>
      <c r="L484" s="2"/>
      <c r="M484" s="2"/>
      <c r="N484" s="2"/>
      <c r="O484" s="2"/>
    </row>
    <row r="485" spans="1:15" ht="26.25" customHeight="1" x14ac:dyDescent="0.25">
      <c r="A485" s="6"/>
      <c r="B485" s="2"/>
      <c r="C485" s="2"/>
      <c r="D485" s="2"/>
      <c r="E485" s="2"/>
      <c r="F485" s="2"/>
      <c r="L485" s="2"/>
      <c r="M485" s="2"/>
      <c r="N485" s="2"/>
      <c r="O485" s="2"/>
    </row>
    <row r="486" spans="1:15" ht="26.25" customHeight="1" x14ac:dyDescent="0.25">
      <c r="A486" s="6"/>
      <c r="B486" s="2"/>
      <c r="C486" s="2"/>
      <c r="D486" s="2"/>
      <c r="E486" s="2"/>
      <c r="F486" s="2"/>
      <c r="L486" s="2"/>
      <c r="M486" s="2"/>
      <c r="N486" s="2"/>
      <c r="O486" s="2"/>
    </row>
    <row r="487" spans="1:15" ht="26.25" customHeight="1" x14ac:dyDescent="0.25">
      <c r="A487" s="6"/>
      <c r="B487" s="2"/>
      <c r="C487" s="2"/>
      <c r="D487" s="2"/>
      <c r="E487" s="2"/>
      <c r="F487" s="2"/>
      <c r="L487" s="2"/>
      <c r="M487" s="2"/>
      <c r="N487" s="2"/>
      <c r="O487" s="2"/>
    </row>
    <row r="488" spans="1:15" ht="26.25" customHeight="1" x14ac:dyDescent="0.25">
      <c r="A488" s="6"/>
      <c r="B488" s="2"/>
      <c r="C488" s="2"/>
      <c r="D488" s="2"/>
      <c r="E488" s="2"/>
      <c r="F488" s="2"/>
      <c r="L488" s="2"/>
      <c r="M488" s="2"/>
      <c r="N488" s="2"/>
      <c r="O488" s="2"/>
    </row>
    <row r="489" spans="1:15" ht="26.25" customHeight="1" x14ac:dyDescent="0.25">
      <c r="A489" s="6"/>
      <c r="B489" s="2"/>
      <c r="C489" s="2"/>
      <c r="D489" s="2"/>
      <c r="E489" s="2"/>
      <c r="F489" s="2"/>
      <c r="L489" s="2"/>
      <c r="M489" s="2"/>
      <c r="N489" s="2"/>
      <c r="O489" s="2"/>
    </row>
    <row r="490" spans="1:15" ht="26.25" customHeight="1" x14ac:dyDescent="0.25">
      <c r="A490" s="6"/>
      <c r="B490" s="2"/>
      <c r="C490" s="2"/>
      <c r="D490" s="2"/>
      <c r="E490" s="2"/>
      <c r="F490" s="2"/>
      <c r="L490" s="2"/>
      <c r="M490" s="2"/>
      <c r="N490" s="2"/>
      <c r="O490" s="2"/>
    </row>
    <row r="491" spans="1:15" ht="26.25" customHeight="1" x14ac:dyDescent="0.25">
      <c r="A491" s="6"/>
      <c r="B491" s="2"/>
      <c r="C491" s="2"/>
      <c r="D491" s="2"/>
      <c r="E491" s="2"/>
      <c r="F491" s="2"/>
      <c r="L491" s="2"/>
      <c r="M491" s="2"/>
      <c r="N491" s="2"/>
      <c r="O491" s="2"/>
    </row>
    <row r="492" spans="1:15" ht="26.25" customHeight="1" x14ac:dyDescent="0.25">
      <c r="A492" s="6"/>
      <c r="B492" s="2"/>
      <c r="C492" s="2"/>
      <c r="D492" s="2"/>
      <c r="E492" s="2"/>
      <c r="F492" s="2"/>
      <c r="L492" s="2"/>
      <c r="M492" s="2"/>
      <c r="N492" s="2"/>
      <c r="O492" s="2"/>
    </row>
    <row r="493" spans="1:15" ht="26.25" customHeight="1" x14ac:dyDescent="0.25">
      <c r="A493" s="6"/>
      <c r="B493" s="2"/>
      <c r="C493" s="2"/>
      <c r="D493" s="2"/>
      <c r="E493" s="2"/>
      <c r="F493" s="2"/>
      <c r="L493" s="2"/>
      <c r="M493" s="2"/>
      <c r="N493" s="2"/>
      <c r="O493" s="2"/>
    </row>
    <row r="494" spans="1:15" ht="26.25" customHeight="1" x14ac:dyDescent="0.25">
      <c r="A494" s="6"/>
      <c r="B494" s="2"/>
      <c r="C494" s="2"/>
      <c r="D494" s="2"/>
      <c r="E494" s="2"/>
      <c r="F494" s="2"/>
      <c r="L494" s="2"/>
      <c r="M494" s="2"/>
      <c r="N494" s="2"/>
      <c r="O494" s="2"/>
    </row>
    <row r="495" spans="1:15" ht="26.25" customHeight="1" x14ac:dyDescent="0.25">
      <c r="A495" s="6"/>
      <c r="B495" s="2"/>
      <c r="C495" s="2"/>
      <c r="D495" s="2"/>
      <c r="E495" s="2"/>
      <c r="F495" s="2"/>
      <c r="L495" s="2"/>
      <c r="M495" s="2"/>
      <c r="N495" s="2"/>
      <c r="O495" s="2"/>
    </row>
    <row r="496" spans="1:15" ht="26.25" customHeight="1" x14ac:dyDescent="0.25">
      <c r="A496" s="6"/>
      <c r="B496" s="2"/>
      <c r="C496" s="2"/>
      <c r="D496" s="2"/>
      <c r="E496" s="2"/>
      <c r="F496" s="2"/>
      <c r="L496" s="2"/>
      <c r="M496" s="2"/>
      <c r="N496" s="2"/>
      <c r="O496" s="2"/>
    </row>
    <row r="497" spans="1:15" ht="26.25" customHeight="1" x14ac:dyDescent="0.25">
      <c r="A497" s="6"/>
      <c r="B497" s="2"/>
      <c r="C497" s="2"/>
      <c r="D497" s="2"/>
      <c r="E497" s="2"/>
      <c r="F497" s="2"/>
      <c r="L497" s="2"/>
      <c r="M497" s="2"/>
      <c r="N497" s="2"/>
      <c r="O497" s="2"/>
    </row>
    <row r="498" spans="1:15" ht="26.25" customHeight="1" x14ac:dyDescent="0.25">
      <c r="A498" s="6"/>
      <c r="B498" s="2"/>
      <c r="C498" s="2"/>
      <c r="D498" s="2"/>
      <c r="E498" s="2"/>
      <c r="F498" s="2"/>
      <c r="L498" s="2"/>
      <c r="M498" s="2"/>
      <c r="N498" s="2"/>
      <c r="O498" s="2"/>
    </row>
    <row r="499" spans="1:15" ht="26.25" customHeight="1" x14ac:dyDescent="0.25">
      <c r="A499" s="6"/>
      <c r="B499" s="2"/>
      <c r="C499" s="2"/>
      <c r="D499" s="2"/>
      <c r="E499" s="2"/>
      <c r="F499" s="2"/>
      <c r="L499" s="2"/>
      <c r="M499" s="2"/>
      <c r="N499" s="2"/>
      <c r="O499" s="2"/>
    </row>
    <row r="500" spans="1:15" ht="26.25" customHeight="1" x14ac:dyDescent="0.25">
      <c r="A500" s="6"/>
      <c r="B500" s="2"/>
      <c r="C500" s="2"/>
      <c r="D500" s="2"/>
      <c r="E500" s="2"/>
      <c r="F500" s="2"/>
      <c r="L500" s="2"/>
      <c r="M500" s="2"/>
      <c r="N500" s="2"/>
      <c r="O500" s="2"/>
    </row>
    <row r="501" spans="1:15" ht="26.25" customHeight="1" x14ac:dyDescent="0.25">
      <c r="A501" s="6"/>
      <c r="B501" s="2"/>
      <c r="C501" s="2"/>
      <c r="D501" s="2"/>
      <c r="E501" s="2"/>
      <c r="F501" s="2"/>
      <c r="L501" s="2"/>
      <c r="M501" s="2"/>
      <c r="N501" s="2"/>
      <c r="O501" s="2"/>
    </row>
    <row r="502" spans="1:15" ht="26.25" customHeight="1" x14ac:dyDescent="0.25">
      <c r="A502" s="6"/>
      <c r="B502" s="2"/>
      <c r="C502" s="2"/>
      <c r="D502" s="2"/>
      <c r="E502" s="2"/>
      <c r="F502" s="2"/>
      <c r="L502" s="2"/>
      <c r="M502" s="2"/>
      <c r="N502" s="2"/>
      <c r="O502" s="2"/>
    </row>
    <row r="503" spans="1:15" ht="26.25" customHeight="1" x14ac:dyDescent="0.25">
      <c r="A503" s="6"/>
      <c r="B503" s="2"/>
      <c r="C503" s="2"/>
      <c r="D503" s="2"/>
      <c r="E503" s="2"/>
      <c r="F503" s="2"/>
      <c r="L503" s="2"/>
      <c r="M503" s="2"/>
      <c r="N503" s="2"/>
      <c r="O503" s="2"/>
    </row>
    <row r="504" spans="1:15" ht="26.25" customHeight="1" x14ac:dyDescent="0.25">
      <c r="A504" s="6"/>
      <c r="B504" s="2"/>
      <c r="C504" s="2"/>
      <c r="D504" s="2"/>
      <c r="E504" s="2"/>
      <c r="F504" s="2"/>
      <c r="L504" s="2"/>
      <c r="M504" s="2"/>
      <c r="N504" s="2"/>
      <c r="O504" s="2"/>
    </row>
    <row r="505" spans="1:15" ht="26.25" customHeight="1" x14ac:dyDescent="0.25">
      <c r="A505" s="6"/>
      <c r="B505" s="2"/>
      <c r="C505" s="2"/>
      <c r="D505" s="2"/>
      <c r="E505" s="2"/>
      <c r="F505" s="2"/>
      <c r="L505" s="2"/>
      <c r="M505" s="2"/>
      <c r="N505" s="2"/>
      <c r="O505" s="2"/>
    </row>
    <row r="506" spans="1:15" ht="26.25" customHeight="1" x14ac:dyDescent="0.25">
      <c r="A506" s="6"/>
      <c r="B506" s="2"/>
      <c r="C506" s="2"/>
      <c r="D506" s="2"/>
      <c r="E506" s="2"/>
      <c r="F506" s="2"/>
      <c r="L506" s="2"/>
      <c r="M506" s="2"/>
      <c r="N506" s="2"/>
      <c r="O506" s="2"/>
    </row>
    <row r="507" spans="1:15" ht="26.25" customHeight="1" x14ac:dyDescent="0.25">
      <c r="A507" s="6"/>
      <c r="B507" s="2"/>
      <c r="C507" s="2"/>
      <c r="D507" s="2"/>
      <c r="E507" s="2"/>
      <c r="F507" s="2"/>
      <c r="L507" s="2"/>
      <c r="M507" s="2"/>
      <c r="N507" s="2"/>
      <c r="O507" s="2"/>
    </row>
    <row r="508" spans="1:15" ht="26.25" customHeight="1" x14ac:dyDescent="0.25">
      <c r="A508" s="6"/>
      <c r="B508" s="2"/>
      <c r="C508" s="2"/>
      <c r="D508" s="2"/>
      <c r="E508" s="2"/>
      <c r="F508" s="2"/>
      <c r="L508" s="2"/>
      <c r="M508" s="2"/>
      <c r="N508" s="2"/>
      <c r="O508" s="2"/>
    </row>
    <row r="509" spans="1:15" ht="26.25" customHeight="1" x14ac:dyDescent="0.25">
      <c r="A509" s="6"/>
      <c r="B509" s="2"/>
      <c r="C509" s="2"/>
      <c r="D509" s="2"/>
      <c r="E509" s="2"/>
      <c r="F509" s="2"/>
      <c r="L509" s="2"/>
      <c r="M509" s="2"/>
      <c r="N509" s="2"/>
      <c r="O509" s="2"/>
    </row>
    <row r="510" spans="1:15" ht="26.25" customHeight="1" x14ac:dyDescent="0.25">
      <c r="A510" s="6"/>
      <c r="B510" s="2"/>
      <c r="C510" s="2"/>
      <c r="D510" s="2"/>
      <c r="E510" s="2"/>
      <c r="F510" s="2"/>
      <c r="L510" s="2"/>
      <c r="M510" s="2"/>
      <c r="N510" s="2"/>
      <c r="O510" s="2"/>
    </row>
    <row r="511" spans="1:15" ht="26.25" customHeight="1" x14ac:dyDescent="0.25">
      <c r="A511" s="6"/>
      <c r="B511" s="2"/>
      <c r="C511" s="2"/>
      <c r="D511" s="2"/>
      <c r="E511" s="2"/>
      <c r="F511" s="2"/>
      <c r="L511" s="2"/>
      <c r="M511" s="2"/>
      <c r="N511" s="2"/>
      <c r="O511" s="2"/>
    </row>
    <row r="512" spans="1:15" ht="26.25" customHeight="1" x14ac:dyDescent="0.25">
      <c r="A512" s="6"/>
      <c r="B512" s="2"/>
      <c r="C512" s="2"/>
      <c r="D512" s="2"/>
      <c r="E512" s="2"/>
      <c r="F512" s="2"/>
      <c r="L512" s="2"/>
      <c r="M512" s="2"/>
      <c r="N512" s="2"/>
      <c r="O512" s="2"/>
    </row>
    <row r="513" spans="1:15" ht="26.25" customHeight="1" x14ac:dyDescent="0.25">
      <c r="A513" s="6"/>
      <c r="B513" s="2"/>
      <c r="C513" s="2"/>
      <c r="D513" s="2"/>
      <c r="E513" s="2"/>
      <c r="F513" s="2"/>
      <c r="L513" s="2"/>
      <c r="M513" s="2"/>
      <c r="N513" s="2"/>
      <c r="O513" s="2"/>
    </row>
    <row r="514" spans="1:15" ht="26.25" customHeight="1" x14ac:dyDescent="0.25">
      <c r="A514" s="6"/>
      <c r="B514" s="2"/>
      <c r="C514" s="2"/>
      <c r="D514" s="2"/>
      <c r="E514" s="2"/>
      <c r="F514" s="2"/>
      <c r="L514" s="2"/>
      <c r="M514" s="2"/>
      <c r="N514" s="2"/>
      <c r="O514" s="2"/>
    </row>
    <row r="515" spans="1:15" ht="26.25" customHeight="1" x14ac:dyDescent="0.25">
      <c r="A515" s="6"/>
      <c r="B515" s="2"/>
      <c r="C515" s="2"/>
      <c r="D515" s="2"/>
      <c r="E515" s="2"/>
      <c r="F515" s="2"/>
      <c r="L515" s="2"/>
      <c r="M515" s="2"/>
      <c r="N515" s="2"/>
      <c r="O515" s="2"/>
    </row>
    <row r="516" spans="1:15" ht="26.25" customHeight="1" x14ac:dyDescent="0.25">
      <c r="A516" s="6"/>
      <c r="B516" s="2"/>
      <c r="C516" s="2"/>
      <c r="D516" s="2"/>
      <c r="E516" s="2"/>
      <c r="F516" s="2"/>
      <c r="L516" s="2"/>
      <c r="M516" s="2"/>
      <c r="N516" s="2"/>
      <c r="O516" s="2"/>
    </row>
    <row r="517" spans="1:15" ht="26.25" customHeight="1" x14ac:dyDescent="0.25">
      <c r="A517" s="6"/>
      <c r="B517" s="2"/>
      <c r="C517" s="2"/>
      <c r="D517" s="2"/>
      <c r="E517" s="2"/>
      <c r="F517" s="2"/>
      <c r="L517" s="2"/>
      <c r="M517" s="2"/>
      <c r="N517" s="2"/>
      <c r="O517" s="2"/>
    </row>
    <row r="518" spans="1:15" ht="26.25" customHeight="1" x14ac:dyDescent="0.25">
      <c r="A518" s="6"/>
      <c r="B518" s="2"/>
      <c r="C518" s="2"/>
      <c r="D518" s="2"/>
      <c r="E518" s="2"/>
      <c r="F518" s="2"/>
      <c r="L518" s="2"/>
      <c r="M518" s="2"/>
      <c r="N518" s="2"/>
      <c r="O518" s="2"/>
    </row>
    <row r="519" spans="1:15" ht="26.25" customHeight="1" x14ac:dyDescent="0.25">
      <c r="A519" s="6"/>
      <c r="B519" s="2"/>
      <c r="C519" s="2"/>
      <c r="D519" s="2"/>
      <c r="E519" s="2"/>
      <c r="F519" s="2"/>
      <c r="L519" s="2"/>
      <c r="M519" s="2"/>
      <c r="N519" s="2"/>
      <c r="O519" s="2"/>
    </row>
    <row r="520" spans="1:15" ht="26.25" customHeight="1" x14ac:dyDescent="0.25">
      <c r="A520" s="6"/>
      <c r="B520" s="2"/>
      <c r="C520" s="2"/>
      <c r="D520" s="2"/>
      <c r="E520" s="2"/>
      <c r="F520" s="2"/>
      <c r="L520" s="2"/>
      <c r="M520" s="2"/>
      <c r="N520" s="2"/>
      <c r="O520" s="2"/>
    </row>
    <row r="521" spans="1:15" ht="26.25" customHeight="1" x14ac:dyDescent="0.25">
      <c r="A521" s="6"/>
      <c r="B521" s="2"/>
      <c r="C521" s="2"/>
      <c r="D521" s="2"/>
      <c r="E521" s="2"/>
      <c r="F521" s="2"/>
      <c r="L521" s="2"/>
      <c r="M521" s="2"/>
      <c r="N521" s="2"/>
      <c r="O521" s="2"/>
    </row>
    <row r="522" spans="1:15" ht="26.25" customHeight="1" x14ac:dyDescent="0.25">
      <c r="A522" s="6"/>
      <c r="B522" s="2"/>
      <c r="C522" s="2"/>
      <c r="D522" s="2"/>
      <c r="E522" s="2"/>
      <c r="F522" s="2"/>
      <c r="L522" s="2"/>
      <c r="M522" s="2"/>
      <c r="N522" s="2"/>
      <c r="O522" s="2"/>
    </row>
    <row r="523" spans="1:15" ht="26.25" customHeight="1" x14ac:dyDescent="0.25">
      <c r="A523" s="6"/>
      <c r="B523" s="2"/>
      <c r="C523" s="2"/>
      <c r="D523" s="2"/>
      <c r="E523" s="2"/>
      <c r="F523" s="2"/>
      <c r="L523" s="2"/>
      <c r="M523" s="2"/>
      <c r="N523" s="2"/>
      <c r="O523" s="2"/>
    </row>
    <row r="524" spans="1:15" ht="26.25" customHeight="1" x14ac:dyDescent="0.25">
      <c r="A524" s="6"/>
      <c r="B524" s="2"/>
      <c r="C524" s="2"/>
      <c r="D524" s="2"/>
      <c r="E524" s="2"/>
      <c r="F524" s="2"/>
      <c r="L524" s="2"/>
      <c r="M524" s="2"/>
      <c r="N524" s="2"/>
      <c r="O524" s="2"/>
    </row>
    <row r="525" spans="1:15" ht="26.25" customHeight="1" x14ac:dyDescent="0.25">
      <c r="A525" s="6"/>
      <c r="B525" s="2"/>
      <c r="C525" s="2"/>
      <c r="D525" s="2"/>
      <c r="E525" s="2"/>
      <c r="F525" s="2"/>
      <c r="L525" s="2"/>
      <c r="M525" s="2"/>
      <c r="N525" s="2"/>
      <c r="O525" s="2"/>
    </row>
    <row r="526" spans="1:15" ht="26.25" customHeight="1" x14ac:dyDescent="0.25">
      <c r="A526" s="6"/>
      <c r="B526" s="2"/>
      <c r="C526" s="2"/>
      <c r="D526" s="2"/>
      <c r="E526" s="2"/>
      <c r="F526" s="2"/>
      <c r="L526" s="2"/>
      <c r="M526" s="2"/>
      <c r="N526" s="2"/>
      <c r="O526" s="2"/>
    </row>
    <row r="527" spans="1:15" ht="26.25" customHeight="1" x14ac:dyDescent="0.25">
      <c r="A527" s="6"/>
      <c r="B527" s="2"/>
      <c r="C527" s="2"/>
      <c r="D527" s="2"/>
      <c r="E527" s="2"/>
      <c r="F527" s="2"/>
      <c r="L527" s="2"/>
      <c r="M527" s="2"/>
      <c r="N527" s="2"/>
      <c r="O527" s="2"/>
    </row>
    <row r="528" spans="1:15" ht="26.25" customHeight="1" x14ac:dyDescent="0.25">
      <c r="A528" s="6"/>
      <c r="B528" s="2"/>
      <c r="C528" s="2"/>
      <c r="D528" s="2"/>
      <c r="E528" s="2"/>
      <c r="F528" s="2"/>
      <c r="L528" s="2"/>
      <c r="M528" s="2"/>
      <c r="N528" s="2"/>
      <c r="O528" s="2"/>
    </row>
    <row r="529" spans="1:15" ht="26.25" customHeight="1" x14ac:dyDescent="0.25">
      <c r="A529" s="6"/>
      <c r="B529" s="2"/>
      <c r="C529" s="2"/>
      <c r="D529" s="2"/>
      <c r="E529" s="2"/>
      <c r="F529" s="2"/>
      <c r="L529" s="2"/>
      <c r="M529" s="2"/>
      <c r="N529" s="2"/>
      <c r="O529" s="2"/>
    </row>
    <row r="530" spans="1:15" ht="26.25" customHeight="1" x14ac:dyDescent="0.25">
      <c r="A530" s="6"/>
      <c r="B530" s="2"/>
      <c r="C530" s="2"/>
      <c r="D530" s="2"/>
      <c r="E530" s="2"/>
      <c r="F530" s="2"/>
      <c r="L530" s="2"/>
      <c r="M530" s="2"/>
      <c r="N530" s="2"/>
      <c r="O530" s="2"/>
    </row>
    <row r="531" spans="1:15" ht="26.25" customHeight="1" x14ac:dyDescent="0.25">
      <c r="A531" s="6"/>
      <c r="B531" s="2"/>
      <c r="C531" s="2"/>
      <c r="D531" s="2"/>
      <c r="E531" s="2"/>
      <c r="F531" s="2"/>
      <c r="L531" s="2"/>
      <c r="M531" s="2"/>
      <c r="N531" s="2"/>
      <c r="O531" s="2"/>
    </row>
    <row r="532" spans="1:15" ht="26.25" customHeight="1" x14ac:dyDescent="0.25">
      <c r="A532" s="6"/>
      <c r="B532" s="2"/>
      <c r="C532" s="2"/>
      <c r="D532" s="2"/>
      <c r="E532" s="2"/>
      <c r="F532" s="2"/>
      <c r="L532" s="2"/>
      <c r="M532" s="2"/>
      <c r="N532" s="2"/>
      <c r="O532" s="2"/>
    </row>
    <row r="533" spans="1:15" ht="26.25" customHeight="1" x14ac:dyDescent="0.25">
      <c r="A533" s="6"/>
      <c r="B533" s="2"/>
      <c r="C533" s="2"/>
      <c r="D533" s="2"/>
      <c r="E533" s="2"/>
      <c r="F533" s="2"/>
      <c r="L533" s="2"/>
      <c r="M533" s="2"/>
      <c r="N533" s="2"/>
      <c r="O533" s="2"/>
    </row>
    <row r="534" spans="1:15" ht="26.25" customHeight="1" x14ac:dyDescent="0.25">
      <c r="A534" s="6"/>
      <c r="B534" s="2"/>
      <c r="C534" s="2"/>
      <c r="D534" s="2"/>
      <c r="E534" s="2"/>
      <c r="F534" s="2"/>
      <c r="L534" s="2"/>
      <c r="M534" s="2"/>
      <c r="N534" s="2"/>
      <c r="O534" s="2"/>
    </row>
    <row r="535" spans="1:15" ht="26.25" customHeight="1" x14ac:dyDescent="0.25">
      <c r="A535" s="6"/>
      <c r="B535" s="2"/>
      <c r="C535" s="2"/>
      <c r="D535" s="2"/>
      <c r="E535" s="2"/>
      <c r="F535" s="2"/>
      <c r="L535" s="2"/>
      <c r="M535" s="2"/>
      <c r="N535" s="2"/>
      <c r="O535" s="2"/>
    </row>
    <row r="536" spans="1:15" ht="26.25" customHeight="1" x14ac:dyDescent="0.25">
      <c r="A536" s="6"/>
      <c r="B536" s="2"/>
      <c r="C536" s="2"/>
      <c r="D536" s="2"/>
      <c r="E536" s="2"/>
      <c r="F536" s="2"/>
      <c r="L536" s="2"/>
      <c r="M536" s="2"/>
      <c r="N536" s="2"/>
      <c r="O536" s="2"/>
    </row>
    <row r="537" spans="1:15" ht="26.25" customHeight="1" x14ac:dyDescent="0.25">
      <c r="A537" s="6"/>
      <c r="B537" s="2"/>
      <c r="C537" s="2"/>
      <c r="D537" s="2"/>
      <c r="E537" s="2"/>
      <c r="F537" s="2"/>
      <c r="L537" s="2"/>
      <c r="M537" s="2"/>
      <c r="N537" s="2"/>
      <c r="O537" s="2"/>
    </row>
    <row r="538" spans="1:15" ht="26.25" customHeight="1" x14ac:dyDescent="0.25">
      <c r="A538" s="6"/>
      <c r="B538" s="2"/>
      <c r="C538" s="2"/>
      <c r="D538" s="2"/>
      <c r="E538" s="2"/>
      <c r="F538" s="2"/>
      <c r="L538" s="2"/>
      <c r="M538" s="2"/>
      <c r="N538" s="2"/>
      <c r="O538" s="2"/>
    </row>
    <row r="539" spans="1:15" ht="26.25" customHeight="1" x14ac:dyDescent="0.25">
      <c r="A539" s="6"/>
      <c r="B539" s="2"/>
      <c r="C539" s="2"/>
      <c r="D539" s="2"/>
      <c r="E539" s="2"/>
      <c r="F539" s="2"/>
      <c r="L539" s="2"/>
      <c r="M539" s="2"/>
      <c r="N539" s="2"/>
      <c r="O539" s="2"/>
    </row>
    <row r="540" spans="1:15" ht="26.25" customHeight="1" x14ac:dyDescent="0.25">
      <c r="A540" s="6"/>
      <c r="B540" s="2"/>
      <c r="C540" s="2"/>
      <c r="D540" s="2"/>
      <c r="E540" s="2"/>
      <c r="F540" s="2"/>
      <c r="L540" s="2"/>
      <c r="M540" s="2"/>
      <c r="N540" s="2"/>
      <c r="O540" s="2"/>
    </row>
    <row r="541" spans="1:15" ht="26.25" customHeight="1" x14ac:dyDescent="0.25">
      <c r="A541" s="6"/>
      <c r="B541" s="2"/>
      <c r="C541" s="2"/>
      <c r="D541" s="2"/>
      <c r="E541" s="2"/>
      <c r="F541" s="2"/>
      <c r="L541" s="2"/>
      <c r="M541" s="2"/>
      <c r="N541" s="2"/>
      <c r="O541" s="2"/>
    </row>
    <row r="542" spans="1:15" ht="26.25" customHeight="1" x14ac:dyDescent="0.25">
      <c r="A542" s="6"/>
      <c r="B542" s="2"/>
      <c r="C542" s="2"/>
      <c r="D542" s="2"/>
      <c r="E542" s="2"/>
      <c r="F542" s="2"/>
      <c r="L542" s="2"/>
      <c r="M542" s="2"/>
      <c r="N542" s="2"/>
      <c r="O542" s="2"/>
    </row>
    <row r="543" spans="1:15" ht="26.25" customHeight="1" x14ac:dyDescent="0.25">
      <c r="A543" s="6"/>
      <c r="B543" s="2"/>
      <c r="C543" s="2"/>
      <c r="D543" s="2"/>
      <c r="E543" s="2"/>
      <c r="F543" s="2"/>
      <c r="L543" s="2"/>
      <c r="M543" s="2"/>
      <c r="N543" s="2"/>
      <c r="O543" s="2"/>
    </row>
    <row r="544" spans="1:15" ht="26.25" customHeight="1" x14ac:dyDescent="0.25">
      <c r="A544" s="6"/>
      <c r="B544" s="2"/>
      <c r="C544" s="2"/>
      <c r="D544" s="2"/>
      <c r="E544" s="2"/>
      <c r="F544" s="2"/>
      <c r="L544" s="2"/>
      <c r="M544" s="2"/>
      <c r="N544" s="2"/>
      <c r="O544" s="2"/>
    </row>
    <row r="545" spans="1:15" ht="26.25" customHeight="1" x14ac:dyDescent="0.25">
      <c r="A545" s="6"/>
      <c r="B545" s="2"/>
      <c r="C545" s="2"/>
      <c r="D545" s="2"/>
      <c r="E545" s="2"/>
      <c r="F545" s="2"/>
      <c r="L545" s="2"/>
      <c r="M545" s="2"/>
      <c r="N545" s="2"/>
      <c r="O545" s="2"/>
    </row>
    <row r="546" spans="1:15" ht="26.25" customHeight="1" x14ac:dyDescent="0.25">
      <c r="A546" s="6"/>
      <c r="B546" s="2"/>
      <c r="C546" s="2"/>
      <c r="D546" s="2"/>
      <c r="E546" s="2"/>
      <c r="F546" s="2"/>
      <c r="L546" s="2"/>
      <c r="M546" s="2"/>
      <c r="N546" s="2"/>
      <c r="O546" s="2"/>
    </row>
    <row r="547" spans="1:15" ht="26.25" customHeight="1" x14ac:dyDescent="0.25">
      <c r="A547" s="6"/>
      <c r="B547" s="2"/>
      <c r="C547" s="2"/>
      <c r="D547" s="2"/>
      <c r="E547" s="2"/>
      <c r="F547" s="2"/>
      <c r="L547" s="2"/>
      <c r="M547" s="2"/>
      <c r="N547" s="2"/>
      <c r="O547" s="2"/>
    </row>
    <row r="548" spans="1:15" ht="26.25" customHeight="1" x14ac:dyDescent="0.25">
      <c r="A548" s="6"/>
      <c r="B548" s="2"/>
      <c r="C548" s="2"/>
      <c r="D548" s="2"/>
      <c r="E548" s="2"/>
      <c r="F548" s="2"/>
      <c r="L548" s="2"/>
      <c r="M548" s="2"/>
      <c r="N548" s="2"/>
      <c r="O548" s="2"/>
    </row>
    <row r="549" spans="1:15" ht="26.25" customHeight="1" x14ac:dyDescent="0.25">
      <c r="A549" s="6"/>
      <c r="B549" s="2"/>
      <c r="C549" s="2"/>
      <c r="D549" s="2"/>
      <c r="E549" s="2"/>
      <c r="F549" s="2"/>
      <c r="L549" s="2"/>
      <c r="M549" s="2"/>
      <c r="N549" s="2"/>
      <c r="O549" s="2"/>
    </row>
    <row r="550" spans="1:15" ht="26.25" customHeight="1" x14ac:dyDescent="0.25">
      <c r="A550" s="6"/>
      <c r="B550" s="2"/>
      <c r="C550" s="2"/>
      <c r="D550" s="2"/>
      <c r="E550" s="2"/>
      <c r="F550" s="2"/>
      <c r="L550" s="2"/>
      <c r="M550" s="2"/>
      <c r="N550" s="2"/>
      <c r="O550" s="2"/>
    </row>
    <row r="551" spans="1:15" ht="26.25" customHeight="1" x14ac:dyDescent="0.25">
      <c r="A551" s="6"/>
      <c r="B551" s="2"/>
      <c r="C551" s="2"/>
      <c r="D551" s="2"/>
      <c r="E551" s="2"/>
      <c r="F551" s="2"/>
      <c r="L551" s="2"/>
      <c r="M551" s="2"/>
      <c r="N551" s="2"/>
      <c r="O551" s="2"/>
    </row>
    <row r="552" spans="1:15" x14ac:dyDescent="0.25">
      <c r="A552" s="6"/>
      <c r="B552" s="2"/>
      <c r="C552" s="2"/>
      <c r="D552" s="2"/>
      <c r="E552" s="2"/>
      <c r="F552" s="2"/>
    </row>
    <row r="553" spans="1:15" x14ac:dyDescent="0.25">
      <c r="B553" s="2"/>
      <c r="C553" s="2"/>
      <c r="D553" s="2"/>
      <c r="E553" s="2"/>
      <c r="F553" s="2"/>
    </row>
    <row r="554" spans="1:15" x14ac:dyDescent="0.25">
      <c r="B554" s="2"/>
      <c r="C554" s="2"/>
      <c r="E554" s="2"/>
      <c r="F554" s="2"/>
    </row>
    <row r="555" spans="1:15" x14ac:dyDescent="0.25">
      <c r="E555" s="2"/>
      <c r="F555" s="2"/>
    </row>
    <row r="556" spans="1:15" x14ac:dyDescent="0.25">
      <c r="E556" s="2"/>
      <c r="F556" s="2"/>
    </row>
    <row r="557" spans="1:15" x14ac:dyDescent="0.25">
      <c r="E557" s="2"/>
      <c r="F557" s="2"/>
    </row>
    <row r="558" spans="1:15" x14ac:dyDescent="0.25">
      <c r="E558" s="2"/>
      <c r="F558" s="2"/>
    </row>
    <row r="559" spans="1:15" x14ac:dyDescent="0.25">
      <c r="E559" s="2"/>
      <c r="F559" s="2"/>
    </row>
    <row r="560" spans="1:15" x14ac:dyDescent="0.25">
      <c r="E560" s="2"/>
      <c r="F560" s="2"/>
    </row>
    <row r="561" spans="5:6" x14ac:dyDescent="0.25">
      <c r="E561" s="2"/>
      <c r="F561" s="2"/>
    </row>
  </sheetData>
  <sheetProtection algorithmName="SHA-512" hashValue="CzoD3SiabPhWv/nYp6Q5ZdEDGKdq4JOWbbFCNvHoQv30G7EI3GB3PXSCdudMDLZD0YA6EaqY7xUKHKuFuUzdlg==" saltValue="IaawJvlF9YsYfDG7p2YjrQ==" spinCount="100000" sheet="1" objects="1" scenarios="1" selectLockedCells="1"/>
  <mergeCells count="53">
    <mergeCell ref="C15:J15"/>
    <mergeCell ref="C17:J17"/>
    <mergeCell ref="C16:J16"/>
    <mergeCell ref="H32:K32"/>
    <mergeCell ref="H28:J28"/>
    <mergeCell ref="H29:J29"/>
    <mergeCell ref="B19:C19"/>
    <mergeCell ref="E19:F19"/>
    <mergeCell ref="I23:J23"/>
    <mergeCell ref="H19:K19"/>
    <mergeCell ref="E23:F23"/>
    <mergeCell ref="H20:K20"/>
    <mergeCell ref="H21:K22"/>
    <mergeCell ref="B30:C30"/>
    <mergeCell ref="E11:H11"/>
    <mergeCell ref="J5:K9"/>
    <mergeCell ref="E9:H9"/>
    <mergeCell ref="A8:D9"/>
    <mergeCell ref="E8:F8"/>
    <mergeCell ref="G8:H8"/>
    <mergeCell ref="E2:H2"/>
    <mergeCell ref="E4:H4"/>
    <mergeCell ref="E5:G5"/>
    <mergeCell ref="E6:H6"/>
    <mergeCell ref="E7:F7"/>
    <mergeCell ref="G7:H7"/>
    <mergeCell ref="E3:H3"/>
    <mergeCell ref="H42:H43"/>
    <mergeCell ref="I42:I43"/>
    <mergeCell ref="J41:K41"/>
    <mergeCell ref="J42:K43"/>
    <mergeCell ref="I24:J24"/>
    <mergeCell ref="I25:J25"/>
    <mergeCell ref="I26:J26"/>
    <mergeCell ref="I27:J27"/>
    <mergeCell ref="H39:K39"/>
    <mergeCell ref="H40:K40"/>
    <mergeCell ref="H31:K31"/>
    <mergeCell ref="H33:I33"/>
    <mergeCell ref="H34:I34"/>
    <mergeCell ref="H35:I35"/>
    <mergeCell ref="H36:I36"/>
    <mergeCell ref="H37:I37"/>
    <mergeCell ref="E42:E43"/>
    <mergeCell ref="F42:F43"/>
    <mergeCell ref="B20:C20"/>
    <mergeCell ref="E20:F20"/>
    <mergeCell ref="E32:F32"/>
    <mergeCell ref="B21:C22"/>
    <mergeCell ref="E21:F22"/>
    <mergeCell ref="B31:C32"/>
    <mergeCell ref="B33:C34"/>
    <mergeCell ref="B35:C37"/>
  </mergeCells>
  <phoneticPr fontId="49" type="noConversion"/>
  <hyperlinks>
    <hyperlink ref="A8" r:id="rId1" xr:uid="{054A293A-E1AF-454A-A600-737447689B12}"/>
  </hyperlinks>
  <pageMargins left="0.7" right="0.7" top="0.75" bottom="0.75" header="0.3" footer="0.3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CALCULADORA HOTEL-LIVING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Andrea Rosgh</cp:lastModifiedBy>
  <dcterms:created xsi:type="dcterms:W3CDTF">2024-10-16T18:38:36Z</dcterms:created>
  <dcterms:modified xsi:type="dcterms:W3CDTF">2025-07-13T20:44:06Z</dcterms:modified>
</cp:coreProperties>
</file>